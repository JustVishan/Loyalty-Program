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E:\Sriram\Anuj\Loyalty Program\Document\"/>
    </mc:Choice>
  </mc:AlternateContent>
  <bookViews>
    <workbookView xWindow="0" yWindow="0" windowWidth="28800" windowHeight="12315" tabRatio="500" activeTab="1"/>
  </bookViews>
  <sheets>
    <sheet name="Settings" sheetId="1" r:id="rId1"/>
    <sheet name="Bill Calculator" sheetId="2" r:id="rId2"/>
    <sheet name="projections" sheetId="3" r:id="rId3"/>
    <sheet name="Revenue Impact" sheetId="4" r:id="rId4"/>
    <sheet name="Portfolio Tracker" sheetId="5" r:id="rId5"/>
    <sheet name="Members" sheetId="6" r:id="rId6"/>
    <sheet name="Invoice Log" sheetId="7" r:id="rId7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J8" i="7" l="1"/>
  <c r="H6" i="7"/>
  <c r="L8" i="6"/>
  <c r="L9" i="6"/>
  <c r="L10" i="6"/>
  <c r="L11" i="6"/>
  <c r="L12" i="6"/>
  <c r="L13" i="6"/>
  <c r="L14" i="6"/>
  <c r="L15" i="6"/>
  <c r="L16" i="6"/>
  <c r="L17" i="6"/>
  <c r="L18" i="6"/>
  <c r="K8" i="6"/>
  <c r="K9" i="6"/>
  <c r="K10" i="6"/>
  <c r="K11" i="6"/>
  <c r="K12" i="6"/>
  <c r="K13" i="6"/>
  <c r="K14" i="6"/>
  <c r="K15" i="6"/>
  <c r="K16" i="6"/>
  <c r="K17" i="6"/>
  <c r="K18" i="6"/>
  <c r="K19" i="6"/>
  <c r="K20" i="6"/>
  <c r="K21" i="6"/>
  <c r="K22" i="6"/>
  <c r="K23" i="6"/>
  <c r="K24" i="6"/>
  <c r="K25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55" i="6"/>
  <c r="J54" i="6"/>
  <c r="J53" i="6"/>
  <c r="J52" i="6"/>
  <c r="J51" i="6"/>
  <c r="J50" i="6"/>
  <c r="J49" i="6"/>
  <c r="J48" i="6"/>
  <c r="J47" i="6"/>
  <c r="J46" i="6"/>
  <c r="J45" i="6"/>
  <c r="J44" i="6"/>
  <c r="J43" i="6"/>
  <c r="J42" i="6"/>
  <c r="J41" i="6"/>
  <c r="J40" i="6"/>
  <c r="J39" i="6"/>
  <c r="J38" i="6"/>
  <c r="J37" i="6"/>
  <c r="J36" i="6"/>
  <c r="J35" i="6"/>
  <c r="J34" i="6"/>
  <c r="J33" i="6"/>
  <c r="J32" i="6"/>
  <c r="J31" i="6"/>
  <c r="J30" i="6"/>
  <c r="J29" i="6"/>
  <c r="J28" i="6"/>
  <c r="J27" i="6"/>
  <c r="J26" i="6"/>
  <c r="J25" i="6"/>
  <c r="J24" i="6"/>
  <c r="J23" i="6"/>
  <c r="J22" i="6"/>
  <c r="J21" i="6"/>
  <c r="J20" i="6"/>
  <c r="F56" i="7"/>
  <c r="J55" i="7"/>
  <c r="H55" i="7"/>
  <c r="I55" i="7" s="1"/>
  <c r="D55" i="7"/>
  <c r="C55" i="7"/>
  <c r="J54" i="7"/>
  <c r="H54" i="7"/>
  <c r="I54" i="7" s="1"/>
  <c r="D54" i="7"/>
  <c r="C54" i="7"/>
  <c r="J53" i="7"/>
  <c r="H53" i="7"/>
  <c r="I53" i="7" s="1"/>
  <c r="D53" i="7"/>
  <c r="C53" i="7"/>
  <c r="J52" i="7"/>
  <c r="H52" i="7"/>
  <c r="I52" i="7" s="1"/>
  <c r="D52" i="7"/>
  <c r="C52" i="7"/>
  <c r="J51" i="7"/>
  <c r="H51" i="7"/>
  <c r="I51" i="7" s="1"/>
  <c r="D51" i="7"/>
  <c r="C51" i="7"/>
  <c r="J50" i="7"/>
  <c r="H50" i="7"/>
  <c r="I50" i="7" s="1"/>
  <c r="D50" i="7"/>
  <c r="C50" i="7"/>
  <c r="J49" i="7"/>
  <c r="H49" i="7"/>
  <c r="I49" i="7" s="1"/>
  <c r="D49" i="7"/>
  <c r="C49" i="7"/>
  <c r="J48" i="7"/>
  <c r="H48" i="7"/>
  <c r="I48" i="7" s="1"/>
  <c r="D48" i="7"/>
  <c r="C48" i="7"/>
  <c r="J47" i="7"/>
  <c r="H47" i="7"/>
  <c r="I47" i="7" s="1"/>
  <c r="D47" i="7"/>
  <c r="C47" i="7"/>
  <c r="J46" i="7"/>
  <c r="H46" i="7"/>
  <c r="I46" i="7" s="1"/>
  <c r="D46" i="7"/>
  <c r="C46" i="7"/>
  <c r="J45" i="7"/>
  <c r="H45" i="7"/>
  <c r="I45" i="7" s="1"/>
  <c r="D45" i="7"/>
  <c r="C45" i="7"/>
  <c r="J44" i="7"/>
  <c r="H44" i="7"/>
  <c r="I44" i="7" s="1"/>
  <c r="D44" i="7"/>
  <c r="C44" i="7"/>
  <c r="J43" i="7"/>
  <c r="H43" i="7"/>
  <c r="I43" i="7" s="1"/>
  <c r="D43" i="7"/>
  <c r="C43" i="7"/>
  <c r="J42" i="7"/>
  <c r="H42" i="7"/>
  <c r="I42" i="7" s="1"/>
  <c r="D42" i="7"/>
  <c r="C42" i="7"/>
  <c r="J41" i="7"/>
  <c r="H41" i="7"/>
  <c r="I41" i="7" s="1"/>
  <c r="D41" i="7"/>
  <c r="C41" i="7"/>
  <c r="J40" i="7"/>
  <c r="H40" i="7"/>
  <c r="I40" i="7" s="1"/>
  <c r="D40" i="7"/>
  <c r="C40" i="7"/>
  <c r="J39" i="7"/>
  <c r="H39" i="7"/>
  <c r="I39" i="7" s="1"/>
  <c r="D39" i="7"/>
  <c r="C39" i="7"/>
  <c r="J38" i="7"/>
  <c r="H38" i="7"/>
  <c r="I38" i="7" s="1"/>
  <c r="D38" i="7"/>
  <c r="C38" i="7"/>
  <c r="J37" i="7"/>
  <c r="H37" i="7"/>
  <c r="I37" i="7" s="1"/>
  <c r="D37" i="7"/>
  <c r="C37" i="7"/>
  <c r="J36" i="7"/>
  <c r="H36" i="7"/>
  <c r="I36" i="7" s="1"/>
  <c r="D36" i="7"/>
  <c r="C36" i="7"/>
  <c r="J35" i="7"/>
  <c r="H35" i="7"/>
  <c r="I35" i="7" s="1"/>
  <c r="D35" i="7"/>
  <c r="C35" i="7"/>
  <c r="J34" i="7"/>
  <c r="H34" i="7"/>
  <c r="I34" i="7" s="1"/>
  <c r="D34" i="7"/>
  <c r="C34" i="7"/>
  <c r="J33" i="7"/>
  <c r="H33" i="7"/>
  <c r="I33" i="7" s="1"/>
  <c r="D33" i="7"/>
  <c r="C33" i="7"/>
  <c r="J32" i="7"/>
  <c r="H32" i="7"/>
  <c r="I32" i="7" s="1"/>
  <c r="D32" i="7"/>
  <c r="C32" i="7"/>
  <c r="J31" i="7"/>
  <c r="H31" i="7"/>
  <c r="I31" i="7" s="1"/>
  <c r="D31" i="7"/>
  <c r="C31" i="7"/>
  <c r="J30" i="7"/>
  <c r="H30" i="7"/>
  <c r="I30" i="7" s="1"/>
  <c r="D30" i="7"/>
  <c r="C30" i="7"/>
  <c r="J29" i="7"/>
  <c r="H29" i="7"/>
  <c r="I29" i="7" s="1"/>
  <c r="D29" i="7"/>
  <c r="C29" i="7"/>
  <c r="J28" i="7"/>
  <c r="H28" i="7"/>
  <c r="I28" i="7" s="1"/>
  <c r="D28" i="7"/>
  <c r="C28" i="7"/>
  <c r="J27" i="7"/>
  <c r="H27" i="7"/>
  <c r="I27" i="7" s="1"/>
  <c r="D27" i="7"/>
  <c r="C27" i="7"/>
  <c r="J26" i="7"/>
  <c r="H26" i="7"/>
  <c r="I26" i="7" s="1"/>
  <c r="D26" i="7"/>
  <c r="C26" i="7"/>
  <c r="J25" i="7"/>
  <c r="H25" i="7"/>
  <c r="I25" i="7" s="1"/>
  <c r="D25" i="7"/>
  <c r="C25" i="7"/>
  <c r="J24" i="7"/>
  <c r="H24" i="7"/>
  <c r="I24" i="7" s="1"/>
  <c r="D24" i="7"/>
  <c r="C24" i="7"/>
  <c r="J23" i="7"/>
  <c r="H23" i="7"/>
  <c r="I23" i="7" s="1"/>
  <c r="D23" i="7"/>
  <c r="C23" i="7"/>
  <c r="J22" i="7"/>
  <c r="H22" i="7"/>
  <c r="I22" i="7" s="1"/>
  <c r="D22" i="7"/>
  <c r="C22" i="7"/>
  <c r="J21" i="7"/>
  <c r="H21" i="7"/>
  <c r="I21" i="7" s="1"/>
  <c r="D21" i="7"/>
  <c r="C21" i="7"/>
  <c r="J20" i="7"/>
  <c r="H20" i="7"/>
  <c r="I20" i="7" s="1"/>
  <c r="D20" i="7"/>
  <c r="C20" i="7"/>
  <c r="J19" i="7"/>
  <c r="H19" i="7"/>
  <c r="I19" i="7" s="1"/>
  <c r="D19" i="7"/>
  <c r="C19" i="7"/>
  <c r="J18" i="7"/>
  <c r="H18" i="7"/>
  <c r="I18" i="7" s="1"/>
  <c r="D18" i="7"/>
  <c r="C18" i="7"/>
  <c r="J17" i="7"/>
  <c r="H17" i="7"/>
  <c r="I17" i="7" s="1"/>
  <c r="D17" i="7"/>
  <c r="C17" i="7"/>
  <c r="J16" i="7"/>
  <c r="H16" i="7"/>
  <c r="I16" i="7" s="1"/>
  <c r="D16" i="7"/>
  <c r="C16" i="7"/>
  <c r="J15" i="7"/>
  <c r="H15" i="7"/>
  <c r="I15" i="7" s="1"/>
  <c r="D15" i="7"/>
  <c r="C15" i="7"/>
  <c r="J14" i="7"/>
  <c r="H14" i="7"/>
  <c r="I14" i="7" s="1"/>
  <c r="D14" i="7"/>
  <c r="C14" i="7"/>
  <c r="J13" i="7"/>
  <c r="H13" i="7"/>
  <c r="I13" i="7" s="1"/>
  <c r="D13" i="7"/>
  <c r="C13" i="7"/>
  <c r="J12" i="7"/>
  <c r="H12" i="7"/>
  <c r="I12" i="7" s="1"/>
  <c r="D12" i="7"/>
  <c r="C12" i="7"/>
  <c r="J11" i="7"/>
  <c r="H11" i="7"/>
  <c r="I11" i="7" s="1"/>
  <c r="D11" i="7"/>
  <c r="C11" i="7"/>
  <c r="D10" i="7"/>
  <c r="C10" i="7"/>
  <c r="J9" i="7"/>
  <c r="H9" i="7"/>
  <c r="I9" i="7" s="1"/>
  <c r="D9" i="7"/>
  <c r="C9" i="7"/>
  <c r="H8" i="7"/>
  <c r="I8" i="7" s="1"/>
  <c r="D8" i="7"/>
  <c r="C8" i="7"/>
  <c r="J7" i="7"/>
  <c r="H7" i="7"/>
  <c r="D7" i="7"/>
  <c r="C7" i="7"/>
  <c r="J6" i="7"/>
  <c r="K6" i="6" s="1"/>
  <c r="D6" i="7"/>
  <c r="C6" i="7"/>
  <c r="B56" i="6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G58" i="2"/>
  <c r="G57" i="2"/>
  <c r="G56" i="2"/>
  <c r="G55" i="2"/>
  <c r="G54" i="2"/>
  <c r="G53" i="2"/>
  <c r="G52" i="2"/>
  <c r="G51" i="2"/>
  <c r="G50" i="2"/>
  <c r="G49" i="2"/>
  <c r="G48" i="2"/>
  <c r="G47" i="2"/>
  <c r="G46" i="2"/>
  <c r="G45" i="2"/>
  <c r="G44" i="2"/>
  <c r="G43" i="2"/>
  <c r="G42" i="2"/>
  <c r="G41" i="2"/>
  <c r="G40" i="2"/>
  <c r="G39" i="2"/>
  <c r="G38" i="2"/>
  <c r="G37" i="2"/>
  <c r="G36" i="2"/>
  <c r="G35" i="2"/>
  <c r="G34" i="2"/>
  <c r="G33" i="2"/>
  <c r="G32" i="2"/>
  <c r="G31" i="2"/>
  <c r="G30" i="2"/>
  <c r="G29" i="2"/>
  <c r="G28" i="2"/>
  <c r="G27" i="2"/>
  <c r="G26" i="2"/>
  <c r="G25" i="2"/>
  <c r="G24" i="2"/>
  <c r="G23" i="2"/>
  <c r="G22" i="2"/>
  <c r="G21" i="2"/>
  <c r="G20" i="2"/>
  <c r="G19" i="2"/>
  <c r="G18" i="2"/>
  <c r="G17" i="2"/>
  <c r="G16" i="2"/>
  <c r="G15" i="2"/>
  <c r="G14" i="2"/>
  <c r="J58" i="2"/>
  <c r="I58" i="2"/>
  <c r="J57" i="2"/>
  <c r="I57" i="2"/>
  <c r="J56" i="2"/>
  <c r="I56" i="2"/>
  <c r="J55" i="2"/>
  <c r="I55" i="2"/>
  <c r="J54" i="2"/>
  <c r="I54" i="2"/>
  <c r="J53" i="2"/>
  <c r="I53" i="2"/>
  <c r="J52" i="2"/>
  <c r="I52" i="2"/>
  <c r="J51" i="2"/>
  <c r="I51" i="2"/>
  <c r="J50" i="2"/>
  <c r="I50" i="2"/>
  <c r="J49" i="2"/>
  <c r="I49" i="2"/>
  <c r="J48" i="2"/>
  <c r="I48" i="2"/>
  <c r="J47" i="2"/>
  <c r="I47" i="2"/>
  <c r="J46" i="2"/>
  <c r="I46" i="2"/>
  <c r="J45" i="2"/>
  <c r="I45" i="2"/>
  <c r="J44" i="2"/>
  <c r="I44" i="2"/>
  <c r="J43" i="2"/>
  <c r="I43" i="2"/>
  <c r="J42" i="2"/>
  <c r="I42" i="2"/>
  <c r="J41" i="2"/>
  <c r="I41" i="2"/>
  <c r="J40" i="2"/>
  <c r="I40" i="2"/>
  <c r="J39" i="2"/>
  <c r="I39" i="2"/>
  <c r="J38" i="2"/>
  <c r="I38" i="2"/>
  <c r="J37" i="2"/>
  <c r="I37" i="2"/>
  <c r="J36" i="2"/>
  <c r="I36" i="2"/>
  <c r="J35" i="2"/>
  <c r="I35" i="2"/>
  <c r="J34" i="2"/>
  <c r="I34" i="2"/>
  <c r="J33" i="2"/>
  <c r="I33" i="2"/>
  <c r="J32" i="2"/>
  <c r="I32" i="2"/>
  <c r="J31" i="2"/>
  <c r="I31" i="2"/>
  <c r="J30" i="2"/>
  <c r="I30" i="2"/>
  <c r="J29" i="2"/>
  <c r="I29" i="2"/>
  <c r="J28" i="2"/>
  <c r="I28" i="2"/>
  <c r="J27" i="2"/>
  <c r="I27" i="2"/>
  <c r="J26" i="2"/>
  <c r="I26" i="2"/>
  <c r="J25" i="2"/>
  <c r="I25" i="2"/>
  <c r="J24" i="2"/>
  <c r="I24" i="2"/>
  <c r="J23" i="2"/>
  <c r="I23" i="2"/>
  <c r="J22" i="2"/>
  <c r="I22" i="2"/>
  <c r="J21" i="2"/>
  <c r="I21" i="2"/>
  <c r="J20" i="2"/>
  <c r="I20" i="2"/>
  <c r="J19" i="2"/>
  <c r="I19" i="2"/>
  <c r="J18" i="2"/>
  <c r="I18" i="2"/>
  <c r="J17" i="2"/>
  <c r="I17" i="2"/>
  <c r="J16" i="2"/>
  <c r="I16" i="2"/>
  <c r="J15" i="2"/>
  <c r="I15" i="2"/>
  <c r="F6" i="3"/>
  <c r="E37" i="5"/>
  <c r="H6" i="5"/>
  <c r="H7" i="5"/>
  <c r="I7" i="5" s="1"/>
  <c r="H8" i="5"/>
  <c r="I8" i="5" s="1"/>
  <c r="H9" i="5"/>
  <c r="I9" i="5" s="1"/>
  <c r="H10" i="5"/>
  <c r="I10" i="5" s="1"/>
  <c r="H11" i="5"/>
  <c r="I11" i="5" s="1"/>
  <c r="H12" i="5"/>
  <c r="I12" i="5" s="1"/>
  <c r="H13" i="5"/>
  <c r="I13" i="5" s="1"/>
  <c r="H14" i="5"/>
  <c r="I14" i="5" s="1"/>
  <c r="H15" i="5"/>
  <c r="I15" i="5" s="1"/>
  <c r="H16" i="5"/>
  <c r="I16" i="5" s="1"/>
  <c r="H17" i="5"/>
  <c r="I17" i="5" s="1"/>
  <c r="H18" i="5"/>
  <c r="I18" i="5" s="1"/>
  <c r="H19" i="5"/>
  <c r="I19" i="5" s="1"/>
  <c r="H20" i="5"/>
  <c r="I20" i="5" s="1"/>
  <c r="H21" i="5"/>
  <c r="I21" i="5" s="1"/>
  <c r="H22" i="5"/>
  <c r="I22" i="5" s="1"/>
  <c r="H23" i="5"/>
  <c r="I23" i="5" s="1"/>
  <c r="H24" i="5"/>
  <c r="I24" i="5" s="1"/>
  <c r="H25" i="5"/>
  <c r="I25" i="5" s="1"/>
  <c r="H26" i="5"/>
  <c r="I26" i="5" s="1"/>
  <c r="H27" i="5"/>
  <c r="I27" i="5" s="1"/>
  <c r="H28" i="5"/>
  <c r="I28" i="5" s="1"/>
  <c r="H29" i="5"/>
  <c r="I29" i="5" s="1"/>
  <c r="H30" i="5"/>
  <c r="I30" i="5" s="1"/>
  <c r="H31" i="5"/>
  <c r="I31" i="5" s="1"/>
  <c r="H32" i="5"/>
  <c r="I32" i="5" s="1"/>
  <c r="H33" i="5"/>
  <c r="I33" i="5" s="1"/>
  <c r="H34" i="5"/>
  <c r="I34" i="5" s="1"/>
  <c r="H35" i="5"/>
  <c r="I35" i="5" s="1"/>
  <c r="F6" i="5"/>
  <c r="G6" i="5" s="1"/>
  <c r="F7" i="5"/>
  <c r="G7" i="5" s="1"/>
  <c r="J7" i="5" s="1"/>
  <c r="K7" i="5" s="1"/>
  <c r="F8" i="5"/>
  <c r="G8" i="5" s="1"/>
  <c r="J8" i="5" s="1"/>
  <c r="K8" i="5" s="1"/>
  <c r="F9" i="5"/>
  <c r="G9" i="5" s="1"/>
  <c r="J9" i="5" s="1"/>
  <c r="K9" i="5" s="1"/>
  <c r="F10" i="5"/>
  <c r="G10" i="5" s="1"/>
  <c r="J10" i="5" s="1"/>
  <c r="K10" i="5" s="1"/>
  <c r="F11" i="5"/>
  <c r="G11" i="5" s="1"/>
  <c r="J11" i="5" s="1"/>
  <c r="K11" i="5" s="1"/>
  <c r="F12" i="5"/>
  <c r="G12" i="5" s="1"/>
  <c r="J12" i="5" s="1"/>
  <c r="K12" i="5" s="1"/>
  <c r="F13" i="5"/>
  <c r="G13" i="5" s="1"/>
  <c r="J13" i="5" s="1"/>
  <c r="K13" i="5" s="1"/>
  <c r="F14" i="5"/>
  <c r="G14" i="5" s="1"/>
  <c r="J14" i="5" s="1"/>
  <c r="K14" i="5" s="1"/>
  <c r="F15" i="5"/>
  <c r="G15" i="5" s="1"/>
  <c r="J15" i="5" s="1"/>
  <c r="K15" i="5" s="1"/>
  <c r="F16" i="5"/>
  <c r="G16" i="5" s="1"/>
  <c r="J16" i="5" s="1"/>
  <c r="K16" i="5" s="1"/>
  <c r="F17" i="5"/>
  <c r="G17" i="5" s="1"/>
  <c r="J17" i="5" s="1"/>
  <c r="K17" i="5" s="1"/>
  <c r="F18" i="5"/>
  <c r="G18" i="5" s="1"/>
  <c r="J18" i="5" s="1"/>
  <c r="K18" i="5" s="1"/>
  <c r="F19" i="5"/>
  <c r="G19" i="5" s="1"/>
  <c r="J19" i="5" s="1"/>
  <c r="K19" i="5" s="1"/>
  <c r="F20" i="5"/>
  <c r="G20" i="5" s="1"/>
  <c r="J20" i="5" s="1"/>
  <c r="K20" i="5" s="1"/>
  <c r="F21" i="5"/>
  <c r="G21" i="5" s="1"/>
  <c r="J21" i="5" s="1"/>
  <c r="K21" i="5" s="1"/>
  <c r="F22" i="5"/>
  <c r="G22" i="5" s="1"/>
  <c r="J22" i="5" s="1"/>
  <c r="K22" i="5" s="1"/>
  <c r="F23" i="5"/>
  <c r="G23" i="5" s="1"/>
  <c r="J23" i="5" s="1"/>
  <c r="K23" i="5" s="1"/>
  <c r="F24" i="5"/>
  <c r="G24" i="5" s="1"/>
  <c r="J24" i="5" s="1"/>
  <c r="K24" i="5" s="1"/>
  <c r="F25" i="5"/>
  <c r="G25" i="5" s="1"/>
  <c r="J25" i="5" s="1"/>
  <c r="K25" i="5" s="1"/>
  <c r="F26" i="5"/>
  <c r="G26" i="5" s="1"/>
  <c r="J26" i="5" s="1"/>
  <c r="K26" i="5" s="1"/>
  <c r="F27" i="5"/>
  <c r="G27" i="5" s="1"/>
  <c r="J27" i="5" s="1"/>
  <c r="K27" i="5" s="1"/>
  <c r="F28" i="5"/>
  <c r="G28" i="5" s="1"/>
  <c r="J28" i="5" s="1"/>
  <c r="K28" i="5" s="1"/>
  <c r="F29" i="5"/>
  <c r="G29" i="5" s="1"/>
  <c r="J29" i="5" s="1"/>
  <c r="K29" i="5" s="1"/>
  <c r="F30" i="5"/>
  <c r="G30" i="5" s="1"/>
  <c r="J30" i="5" s="1"/>
  <c r="K30" i="5" s="1"/>
  <c r="F31" i="5"/>
  <c r="G31" i="5" s="1"/>
  <c r="J31" i="5" s="1"/>
  <c r="K31" i="5" s="1"/>
  <c r="F32" i="5"/>
  <c r="G32" i="5" s="1"/>
  <c r="J32" i="5" s="1"/>
  <c r="K32" i="5" s="1"/>
  <c r="F33" i="5"/>
  <c r="G33" i="5" s="1"/>
  <c r="J33" i="5" s="1"/>
  <c r="K33" i="5" s="1"/>
  <c r="F34" i="5"/>
  <c r="G34" i="5" s="1"/>
  <c r="J34" i="5" s="1"/>
  <c r="K34" i="5" s="1"/>
  <c r="F35" i="5"/>
  <c r="G35" i="5" s="1"/>
  <c r="J35" i="5" s="1"/>
  <c r="K35" i="5" s="1"/>
  <c r="D17" i="4"/>
  <c r="C17" i="4"/>
  <c r="B17" i="4"/>
  <c r="F7" i="3"/>
  <c r="E7" i="3"/>
  <c r="D7" i="3"/>
  <c r="C7" i="3"/>
  <c r="B7" i="3"/>
  <c r="E6" i="3"/>
  <c r="D6" i="3"/>
  <c r="C6" i="3"/>
  <c r="B6" i="3"/>
  <c r="F5" i="3"/>
  <c r="E5" i="3"/>
  <c r="D5" i="3"/>
  <c r="C5" i="3"/>
  <c r="B5" i="3"/>
  <c r="B77" i="2"/>
  <c r="B66" i="2"/>
  <c r="C60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D14" i="2"/>
  <c r="E14" i="2" s="1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H6" i="2"/>
  <c r="E6" i="2"/>
  <c r="D17" i="1"/>
  <c r="D20" i="4" s="1"/>
  <c r="D21" i="4" s="1"/>
  <c r="B24" i="4" s="1"/>
  <c r="B30" i="4" s="1"/>
  <c r="C17" i="1"/>
  <c r="C20" i="4" s="1"/>
  <c r="C21" i="4" s="1"/>
  <c r="B25" i="4" s="1"/>
  <c r="B17" i="1"/>
  <c r="H10" i="7"/>
  <c r="F14" i="2" l="1"/>
  <c r="I10" i="7"/>
  <c r="I7" i="7"/>
  <c r="K7" i="6"/>
  <c r="L7" i="6" s="1"/>
  <c r="J6" i="6"/>
  <c r="J56" i="6" s="1"/>
  <c r="I6" i="7"/>
  <c r="H56" i="7"/>
  <c r="B20" i="4"/>
  <c r="B21" i="4" s="1"/>
  <c r="B26" i="4" s="1"/>
  <c r="B31" i="4" s="1"/>
  <c r="G37" i="5"/>
  <c r="H37" i="5"/>
  <c r="I6" i="5"/>
  <c r="B63" i="2"/>
  <c r="B67" i="2" s="1"/>
  <c r="B68" i="2" s="1"/>
  <c r="B6" i="4"/>
  <c r="H14" i="2" l="1"/>
  <c r="I14" i="2"/>
  <c r="J14" i="2" s="1"/>
  <c r="J60" i="2" s="1"/>
  <c r="I56" i="7"/>
  <c r="E60" i="2"/>
  <c r="B8" i="4" s="1"/>
  <c r="D60" i="2"/>
  <c r="B7" i="4" s="1"/>
  <c r="L6" i="6"/>
  <c r="K56" i="6"/>
  <c r="L56" i="6" s="1"/>
  <c r="I37" i="5"/>
  <c r="J6" i="5"/>
  <c r="J37" i="5" l="1"/>
  <c r="K37" i="5" s="1"/>
  <c r="K6" i="5"/>
  <c r="I60" i="2" l="1"/>
  <c r="F60" i="2" l="1"/>
  <c r="B76" i="2" l="1"/>
  <c r="B78" i="2" s="1"/>
  <c r="B9" i="4"/>
  <c r="B10" i="4" l="1"/>
  <c r="B11" i="4" s="1"/>
  <c r="B12" i="4" s="1"/>
</calcChain>
</file>

<file path=xl/sharedStrings.xml><?xml version="1.0" encoding="utf-8"?>
<sst xmlns="http://schemas.openxmlformats.org/spreadsheetml/2006/main" count="368" uniqueCount="163">
  <si>
    <t>⚙  ENGINEER &amp; CONTRACTOR TIER PROGRAM — SETTINGS</t>
  </si>
  <si>
    <t>Two independent tiers per member: DISCOUNT tier and POINTS tier. Both reviewed annually based on total sale value. Members locked at their tier all year — upgrade or downgrade applies the following year.</t>
  </si>
  <si>
    <t>Parameter</t>
  </si>
  <si>
    <t>Gold 🥇</t>
  </si>
  <si>
    <t>Platinum 💎</t>
  </si>
  <si>
    <t>Diamond 👑</t>
  </si>
  <si>
    <t>Notes</t>
  </si>
  <si>
    <t>A.  DISCOUNT TIER  (qualified by annual sale value)</t>
  </si>
  <si>
    <t>Tier name</t>
  </si>
  <si>
    <t>Gold</t>
  </si>
  <si>
    <t>Platinum</t>
  </si>
  <si>
    <t>Diamond</t>
  </si>
  <si>
    <t>Display label</t>
  </si>
  <si>
    <t>Annual sale value threshold (₹)</t>
  </si>
  <si>
    <t>Total invoice value during the year required to hold/upgrade to this tier next year</t>
  </si>
  <si>
    <t>Discount rate</t>
  </si>
  <si>
    <t>Default discount on invoices. Per-purchase override is handled in the software.</t>
  </si>
  <si>
    <t>B.  POINTS TIER  (qualified by annual sale value, separate from discount tier)</t>
  </si>
  <si>
    <t>Points multiplier</t>
  </si>
  <si>
    <t>Multiplier applied to base earn rate</t>
  </si>
  <si>
    <t>Base earn rate (pts per ₹1,000)</t>
  </si>
  <si>
    <t>Same for all tiers; the points multiplier scales it per tier</t>
  </si>
  <si>
    <t>Effective earn rate (pts/₹1,000)</t>
  </si>
  <si>
    <t>Calculated</t>
  </si>
  <si>
    <t>C.  ANNUAL REVIEW LOGIC</t>
  </si>
  <si>
    <t>Upgrade rule</t>
  </si>
  <si>
    <t>If annual sale value ≥ next-tier threshold → upgrade next year</t>
  </si>
  <si>
    <t>Hold rule</t>
  </si>
  <si>
    <t>If annual sale value ≥ current-tier threshold → keep current tier next year</t>
  </si>
  <si>
    <t>Downgrade rule</t>
  </si>
  <si>
    <t>If annual sale value &lt; current-tier threshold → drop one tier next year (Diamond→Platinum, Platinum→Gold, Gold→stays Gold)</t>
  </si>
  <si>
    <t>Mid-year</t>
  </si>
  <si>
    <t>Tier is locked. No mid-year upgrades or downgrades. Discount and points multiplier both stay at start-of-year tier.</t>
  </si>
  <si>
    <t>D.  POINTS-TO-CURRENCY CONVERSION</t>
  </si>
  <si>
    <t>Points-to-₹ conversion (₹ per point)</t>
  </si>
  <si>
    <t>Cash value of 1 point when redeemed at this points tier</t>
  </si>
  <si>
    <t>E.  BONUS POINTS (cumulative-points milestones)</t>
  </si>
  <si>
    <t>Crossing a points threshold awards a one-time lump-sum AND boosts multiplier on future invoices</t>
  </si>
  <si>
    <t>Bonus 1</t>
  </si>
  <si>
    <t>Bonus 2</t>
  </si>
  <si>
    <t>Bonus 3</t>
  </si>
  <si>
    <t>Cumulative-points threshold</t>
  </si>
  <si>
    <t>Multiplier boost (stacks on tier mult.)</t>
  </si>
  <si>
    <t>Flat bonus points awarded (lump sum)</t>
  </si>
  <si>
    <t>Boost applies only to invoices AFTER threshold is crossed (not retroactive)</t>
  </si>
  <si>
    <t>Points resets every year</t>
  </si>
  <si>
    <t>🧮  ENGINEER / CONTRACTOR — BILL CALCULATOR (single year)</t>
  </si>
  <si>
    <t>Member's tiers are locked all year. Enter starting Discount tier and starting Points tier. Year-end totals determine next year's tiers (upgrade if hit next-tier threshold, hold if hit current threshold, drop one step otherwise).</t>
  </si>
  <si>
    <t>Member name:</t>
  </si>
  <si>
    <t>Starting Discount tier:</t>
  </si>
  <si>
    <t>Starting Points tier:</t>
  </si>
  <si>
    <t>Discount rate this year:</t>
  </si>
  <si>
    <t>Points multiplier this year:</t>
  </si>
  <si>
    <t>#</t>
  </si>
  <si>
    <t>Project / Description</t>
  </si>
  <si>
    <t>Invoice value (₹)</t>
  </si>
  <si>
    <t>Discount (₹)</t>
  </si>
  <si>
    <t>Net invoice (₹)</t>
  </si>
  <si>
    <t>Pts earned (base)</t>
  </si>
  <si>
    <t>Cum. pts before</t>
  </si>
  <si>
    <t>Bonus boost rate</t>
  </si>
  <si>
    <t>Lump-sum bonus</t>
  </si>
  <si>
    <t>Total pts (row)</t>
  </si>
  <si>
    <t>YEAR TOTALS</t>
  </si>
  <si>
    <t>📅  YEAR-END REVIEW — NEXT YEAR'S TIERS</t>
  </si>
  <si>
    <t>Annual sale value (₹):</t>
  </si>
  <si>
    <t>DISCOUNT TIER</t>
  </si>
  <si>
    <t xml:space="preserve">  This year (locked):</t>
  </si>
  <si>
    <t xml:space="preserve">  Next year:</t>
  </si>
  <si>
    <t xml:space="preserve">  Change:</t>
  </si>
  <si>
    <t>POINTS REDEMPTION VALUE</t>
  </si>
  <si>
    <t xml:space="preserve">  Total points earned:</t>
  </si>
  <si>
    <t xml:space="preserve">  ₹ conversion rate (current points tier):</t>
  </si>
  <si>
    <t xml:space="preserve">  Cash value (₹):</t>
  </si>
  <si>
    <t>📊  TIER QUALIFICATION — ANNUAL SALE VALUE NEEDED</t>
  </si>
  <si>
    <t>Both Discount and Points tiers qualify on annual sale value only.</t>
  </si>
  <si>
    <t>Tier</t>
  </si>
  <si>
    <t>Annual sale value (Discount)</t>
  </si>
  <si>
    <t>Annual sale value (Points)</t>
  </si>
  <si>
    <t>₹ / point</t>
  </si>
  <si>
    <t>Note: Members are evaluated independently on each tier at year-end. A member can be Discount-Gold and Points-Platinum simultaneously.</t>
  </si>
  <si>
    <t>📊  PROGRAM REVENUE IMPACT</t>
  </si>
  <si>
    <t>Cost of the program is the discount given to members + the cash value of points they redeem. Both depend on the member's tier (locked annually).</t>
  </si>
  <si>
    <t>A.  CURRENT MEMBER (from Bill Calculator)</t>
  </si>
  <si>
    <t>Total invoice value (₹)</t>
  </si>
  <si>
    <t>Discount given (₹)</t>
  </si>
  <si>
    <t>Net invoice value (₹)</t>
  </si>
  <si>
    <t>Points earned</t>
  </si>
  <si>
    <t>Cash value of points (if redeemed)</t>
  </si>
  <si>
    <t>Total program cost (discount + points value)</t>
  </si>
  <si>
    <t>`</t>
  </si>
  <si>
    <t>Cost as % of invoice value</t>
  </si>
  <si>
    <t>B.  PER-TIER COST TABLE  (cost % of invoice if member earns and redeems all points)</t>
  </si>
  <si>
    <t>Discount-Gold</t>
  </si>
  <si>
    <t>Discount-Platinum</t>
  </si>
  <si>
    <t>Discount-Diamond</t>
  </si>
  <si>
    <t>Points cost (assume all redeemed at points-tier rate ⃖)</t>
  </si>
  <si>
    <t>Pts-Gold</t>
  </si>
  <si>
    <t>Pts-Platinum</t>
  </si>
  <si>
    <t>Pts-Diamond</t>
  </si>
  <si>
    <t>Effective ₹ cost per ₹1,000 invoice</t>
  </si>
  <si>
    <t>Points cost as % of invoice</t>
  </si>
  <si>
    <t>C.  WORST-CASE COMBINED COST  (highest discount tier + highest points tier)</t>
  </si>
  <si>
    <t>Member is Discount-Diamond AND Points-Diamond</t>
  </si>
  <si>
    <t>Member is Discount-Platinum AND Points-Platinum</t>
  </si>
  <si>
    <t>Member is Discount-Gold AND Points-Gold</t>
  </si>
  <si>
    <t>D.  MARGIN CHECK</t>
  </si>
  <si>
    <t>Your gross margin on tile sales (%)</t>
  </si>
  <si>
    <t>Net margin after worst-case program cost (Diamond+Diamond)</t>
  </si>
  <si>
    <t>Net margin after baseline program cost (Gold+Gold)</t>
  </si>
  <si>
    <t>Note: Per-purchase discount overrides set in software will affect realized cost.</t>
  </si>
  <si>
    <t>👥  PORTFOLIO TRACKER — ALL MEMBERS</t>
  </si>
  <si>
    <t>One row per engineer/contractor. Both tiers are locked for the year. Discount and points-cost rates pull from Settings.</t>
  </si>
  <si>
    <t>Member name</t>
  </si>
  <si>
    <t>Discount tier (this year)</t>
  </si>
  <si>
    <t>Points tier (this year)</t>
  </si>
  <si>
    <t>Annual invoice value (₹)</t>
  </si>
  <si>
    <t>Points cash value (₹)</t>
  </si>
  <si>
    <t>Total program cost (₹)</t>
  </si>
  <si>
    <t>Cost % of invoice</t>
  </si>
  <si>
    <t>PORTFOLIO TOTALS</t>
  </si>
  <si>
    <t>👥  MEMBERS</t>
  </si>
  <si>
    <t>One row per programme participant. Member ID links to the Invoice Log. Discount tier dropdown shows tier + locked rate for the year.</t>
  </si>
  <si>
    <t>🔵 Blue cells = manual input    ⚫ Black = derived</t>
  </si>
  <si>
    <t>ID</t>
  </si>
  <si>
    <t>Name</t>
  </si>
  <si>
    <t>Phone</t>
  </si>
  <si>
    <t>Type</t>
  </si>
  <si>
    <t>Branch</t>
  </si>
  <si>
    <t>Joined</t>
  </si>
  <si>
    <t>Discount tier (locked for year)</t>
  </si>
  <si>
    <t>Custom %</t>
  </si>
  <si>
    <t>Status</t>
  </si>
  <si>
    <t>YTD Sale (₹)</t>
  </si>
  <si>
    <t>YTD Discount (₹)</t>
  </si>
  <si>
    <t>Effective %</t>
  </si>
  <si>
    <t>M001</t>
  </si>
  <si>
    <t>Rajesh Kumar</t>
  </si>
  <si>
    <t>9876543210</t>
  </si>
  <si>
    <t>Engineer</t>
  </si>
  <si>
    <t>Madurai</t>
  </si>
  <si>
    <t>🥇 Gold (8%)</t>
  </si>
  <si>
    <t>Active</t>
  </si>
  <si>
    <t>M002</t>
  </si>
  <si>
    <t>test</t>
  </si>
  <si>
    <t>9876543213</t>
  </si>
  <si>
    <t>Ramnad</t>
  </si>
  <si>
    <t>💎 Platinum (10%)</t>
  </si>
  <si>
    <t>Confirmed</t>
  </si>
  <si>
    <t>TOTAL</t>
  </si>
  <si>
    <t>📄  INVOICE LOG  —  Every invoice across all members</t>
  </si>
  <si>
    <t>One row per invoice. Member ID (col B) links to the Members sheet. Discount, points, and bonuses are calculated using the member's locked tier from Members sheet.</t>
  </si>
  <si>
    <t>Blue cells = manual input. Black = derived. The Members sheet aggregates YTD totals via SUMIFS on column B.</t>
  </si>
  <si>
    <t>Invoice #</t>
  </si>
  <si>
    <t>Phone (input)</t>
  </si>
  <si>
    <t>Member ID</t>
  </si>
  <si>
    <t>Invoice date</t>
  </si>
  <si>
    <t>Project / description</t>
  </si>
  <si>
    <t>Discount tier</t>
  </si>
  <si>
    <t>INV-0001</t>
  </si>
  <si>
    <t>Sample project — replace</t>
  </si>
  <si>
    <t>TOTALS</t>
  </si>
  <si>
    <t>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</si>
</sst>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2">
    <numFmt numFmtId="164" formatCode="\₹#,##0"/>
    <numFmt numFmtId="165" formatCode="0.0%"/>
    <numFmt numFmtId="166" formatCode="0.0"/>
    <numFmt numFmtId="167" formatCode="0.0\x"/>
    <numFmt numFmtId="168" formatCode="0.0&quot;x&quot;"/>
    <numFmt numFmtId="169" formatCode="\₹#,##0.00"/>
    <numFmt numFmtId="170" formatCode="\₹#,##0;\(\₹#,##0\);\-"/>
    <numFmt numFmtId="171" formatCode="#,##0;\(#,##0\);\-"/>
    <numFmt numFmtId="172" formatCode="0.0%;\(0.0%\);\-"/>
    <numFmt numFmtId="173" formatCode="0.000%"/>
    <numFmt numFmtId="174" formatCode="0.0%;[Red]\(0.0%\);\-"/>
    <numFmt numFmtId="175" formatCode="0.00%;\(0.00%\);\-"/>
  </numFmts>
  <fonts count="35">
    <font>
      <sz val="11"/>
      <color theme="1"/>
      <name val="Calibri"/>
      <family val="2"/>
      <charset val="1"/>
    </font>
    <font>
      <b/>
      <sz val="15"/>
      <color rgb="FFFFFFFF"/>
      <name val="Arial"/>
      <family val="2"/>
    </font>
    <font>
      <i/>
      <sz val="9"/>
      <color rgb="FF888888"/>
      <name val="Arial"/>
      <family val="2"/>
    </font>
    <font>
      <b/>
      <sz val="10"/>
      <color rgb="FFFFFFFF"/>
      <name val="Arial"/>
      <family val="2"/>
    </font>
    <font>
      <b/>
      <sz val="10"/>
      <color rgb="FF2C3E50"/>
      <name val="Arial"/>
      <family val="2"/>
    </font>
    <font>
      <sz val="10"/>
      <color rgb="FF000000"/>
      <name val="Arial"/>
      <family val="2"/>
    </font>
    <font>
      <sz val="10"/>
      <color rgb="FF0000FF"/>
      <name val="Arial"/>
      <family val="2"/>
    </font>
    <font>
      <i/>
      <sz val="9"/>
      <color rgb="FF666666"/>
      <name val="Arial"/>
      <family val="2"/>
    </font>
    <font>
      <b/>
      <sz val="9"/>
      <color rgb="FF2C3E50"/>
      <name val="Arial"/>
      <family val="2"/>
    </font>
    <font>
      <sz val="9"/>
      <color rgb="FF0000FF"/>
      <name val="Arial"/>
      <family val="2"/>
    </font>
    <font>
      <sz val="9"/>
      <color rgb="FF000000"/>
      <name val="Arial"/>
      <family val="2"/>
    </font>
    <font>
      <b/>
      <sz val="10"/>
      <color rgb="FF000000"/>
      <name val="Arial"/>
      <family val="2"/>
    </font>
    <font>
      <b/>
      <sz val="14"/>
      <color rgb="FFFFFFFF"/>
      <name val="Arial"/>
      <family val="2"/>
    </font>
    <font>
      <b/>
      <sz val="10"/>
      <color rgb="FF0000FF"/>
      <name val="Arial"/>
      <family val="2"/>
    </font>
    <font>
      <i/>
      <sz val="10"/>
      <color rgb="FF0000FF"/>
      <name val="Arial"/>
      <family val="2"/>
    </font>
    <font>
      <b/>
      <sz val="14"/>
      <color theme="1"/>
      <name val="Calibri"/>
      <family val="2"/>
      <charset val="1"/>
    </font>
    <font>
      <sz val="11"/>
      <color rgb="FF666666"/>
      <name val="Calibri"/>
      <family val="2"/>
      <charset val="1"/>
    </font>
    <font>
      <i/>
      <sz val="11"/>
      <color rgb="FF666666"/>
      <name val="Calibri"/>
      <family val="2"/>
      <charset val="1"/>
    </font>
    <font>
      <b/>
      <sz val="11"/>
      <color theme="1"/>
      <name val="Calibri"/>
      <family val="2"/>
      <charset val="1"/>
    </font>
    <font>
      <sz val="11"/>
      <color rgb="FF0000FF"/>
      <name val="Calibri"/>
      <family val="2"/>
      <charset val="1"/>
    </font>
    <font>
      <i/>
      <sz val="11"/>
      <color theme="1"/>
      <name val="Calibri"/>
      <family val="2"/>
      <charset val="1"/>
    </font>
    <font>
      <b/>
      <sz val="12"/>
      <color theme="1"/>
      <name val="Calibri"/>
      <family val="2"/>
      <charset val="1"/>
    </font>
    <font>
      <b/>
      <sz val="13"/>
      <color theme="1"/>
      <name val="Calibri"/>
      <family val="2"/>
      <charset val="1"/>
    </font>
    <font>
      <i/>
      <sz val="10"/>
      <color rgb="FF666666"/>
      <name val="Arial"/>
      <family val="2"/>
    </font>
    <font>
      <b/>
      <sz val="16"/>
      <color rgb="FFFFFFFF"/>
      <name val="Calibri"/>
      <family val="2"/>
      <charset val="1"/>
    </font>
    <font>
      <b/>
      <sz val="11"/>
      <color rgb="FFFFFFFF"/>
      <name val="Calibri"/>
      <family val="2"/>
      <charset val="1"/>
    </font>
    <font>
      <i/>
      <sz val="10"/>
      <color rgb="FF666666"/>
      <name val="Calibri"/>
      <family val="2"/>
      <charset val="1"/>
    </font>
    <font>
      <sz val="9"/>
      <color rgb="FF666666"/>
      <name val="Calibri"/>
      <family val="2"/>
      <charset val="1"/>
    </font>
    <font>
      <sz val="11"/>
      <color rgb="FF0000FF"/>
      <name val="Aptos"/>
    </font>
    <font>
      <b/>
      <sz val="11"/>
      <color rgb="FF0000FF"/>
      <name val="Aptos"/>
    </font>
    <font>
      <b/>
      <sz val="11"/>
      <color rgb="FF00A050"/>
      <name val="Aptos"/>
    </font>
    <font>
      <sz val="11"/>
      <color theme="1"/>
      <name val="Aptos"/>
    </font>
    <font>
      <b/>
      <sz val="11"/>
      <color rgb="FFFFFFFF"/>
      <name val="Aptos"/>
    </font>
    <font>
      <b/>
      <sz val="18"/>
      <color rgb="FF1F3864"/>
      <name val="Calibri"/>
      <family val="2"/>
      <charset val="1"/>
    </font>
    <font>
      <b/>
      <sz val="10"/>
      <color rgb="FF000000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2C3E50"/>
        <bgColor rgb="FF374151"/>
      </patternFill>
    </fill>
    <fill>
      <patternFill patternType="solid">
        <fgColor rgb="FFDEE2E6"/>
        <bgColor rgb="FFD4EDDA"/>
      </patternFill>
    </fill>
    <fill>
      <patternFill patternType="solid">
        <fgColor rgb="FFF8F9FA"/>
        <bgColor rgb="FFFFFBF0"/>
      </patternFill>
    </fill>
    <fill>
      <patternFill patternType="solid">
        <fgColor rgb="FFEBF4FF"/>
        <bgColor rgb="FFF0F0F0"/>
      </patternFill>
    </fill>
    <fill>
      <patternFill patternType="solid">
        <fgColor rgb="FFFFFFFF"/>
        <bgColor rgb="FFFFFBF0"/>
      </patternFill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1F3864"/>
        <bgColor indexed="64"/>
      </patternFill>
    </fill>
    <fill>
      <patternFill patternType="solid">
        <fgColor rgb="FFF8F9FC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5">
    <xf numFmtId="0" fontId="0" fillId="0" borderId="0" xfId="0"/>
    <xf numFmtId="0" fontId="5" fillId="4" borderId="1" xfId="0" applyFont="1" applyFill="1" applyBorder="1" applyAlignment="1">
      <alignment horizontal="left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left" vertical="center" wrapText="1"/>
    </xf>
    <xf numFmtId="3" fontId="6" fillId="5" borderId="1" xfId="0" applyNumberFormat="1" applyFont="1" applyFill="1" applyBorder="1" applyAlignment="1">
      <alignment horizontal="center" vertical="center" wrapText="1"/>
    </xf>
    <xf numFmtId="164" fontId="6" fillId="5" borderId="1" xfId="0" applyNumberFormat="1" applyFont="1" applyFill="1" applyBorder="1" applyAlignment="1">
      <alignment horizontal="center" vertical="center" wrapText="1"/>
    </xf>
    <xf numFmtId="165" fontId="6" fillId="5" borderId="1" xfId="0" applyNumberFormat="1" applyFont="1" applyFill="1" applyBorder="1" applyAlignment="1">
      <alignment horizontal="center" vertical="center" wrapText="1"/>
    </xf>
    <xf numFmtId="166" fontId="6" fillId="5" borderId="1" xfId="0" applyNumberFormat="1" applyFont="1" applyFill="1" applyBorder="1" applyAlignment="1">
      <alignment horizontal="center" vertical="center" wrapText="1"/>
    </xf>
    <xf numFmtId="167" fontId="6" fillId="5" borderId="1" xfId="0" applyNumberFormat="1" applyFont="1" applyFill="1" applyBorder="1" applyAlignment="1">
      <alignment horizontal="center" vertical="center" wrapText="1"/>
    </xf>
    <xf numFmtId="166" fontId="5" fillId="6" borderId="1" xfId="0" applyNumberFormat="1" applyFont="1" applyFill="1" applyBorder="1" applyAlignment="1">
      <alignment horizontal="center" vertical="center" wrapText="1"/>
    </xf>
    <xf numFmtId="0" fontId="4" fillId="6" borderId="0" xfId="0" applyFont="1" applyFill="1" applyAlignment="1">
      <alignment horizontal="left" vertical="center" wrapText="1"/>
    </xf>
    <xf numFmtId="9" fontId="4" fillId="6" borderId="0" xfId="0" applyNumberFormat="1" applyFont="1" applyFill="1" applyAlignment="1">
      <alignment horizontal="left" vertical="center" wrapText="1"/>
    </xf>
    <xf numFmtId="0" fontId="0" fillId="6" borderId="0" xfId="0" applyFill="1"/>
    <xf numFmtId="9" fontId="6" fillId="0" borderId="0" xfId="0" applyNumberFormat="1" applyFont="1"/>
    <xf numFmtId="0" fontId="9" fillId="5" borderId="0" xfId="0" applyFont="1" applyFill="1" applyAlignment="1">
      <alignment horizontal="left" vertical="center" wrapText="1"/>
    </xf>
    <xf numFmtId="0" fontId="10" fillId="6" borderId="0" xfId="0" applyFont="1" applyFill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center" wrapText="1"/>
    </xf>
    <xf numFmtId="0" fontId="11" fillId="8" borderId="1" xfId="0" applyFont="1" applyFill="1" applyBorder="1" applyAlignment="1">
      <alignment horizontal="left" vertical="center" wrapText="1"/>
    </xf>
    <xf numFmtId="164" fontId="6" fillId="5" borderId="1" xfId="0" applyNumberFormat="1" applyFont="1" applyFill="1" applyBorder="1" applyAlignment="1">
      <alignment horizontal="right" vertical="center" wrapText="1"/>
    </xf>
    <xf numFmtId="165" fontId="6" fillId="5" borderId="1" xfId="0" applyNumberFormat="1" applyFont="1" applyFill="1" applyBorder="1" applyAlignment="1">
      <alignment horizontal="right" vertical="center" wrapText="1"/>
    </xf>
    <xf numFmtId="166" fontId="6" fillId="5" borderId="1" xfId="0" applyNumberFormat="1" applyFont="1" applyFill="1" applyBorder="1" applyAlignment="1">
      <alignment horizontal="right" vertical="center" wrapText="1"/>
    </xf>
    <xf numFmtId="168" fontId="6" fillId="5" borderId="1" xfId="0" applyNumberFormat="1" applyFont="1" applyFill="1" applyBorder="1" applyAlignment="1">
      <alignment horizontal="right" vertical="center" wrapText="1"/>
    </xf>
    <xf numFmtId="2" fontId="6" fillId="5" borderId="1" xfId="0" applyNumberFormat="1" applyFont="1" applyFill="1" applyBorder="1" applyAlignment="1">
      <alignment horizontal="right" vertical="center" wrapText="1"/>
    </xf>
    <xf numFmtId="3" fontId="14" fillId="5" borderId="1" xfId="0" applyNumberFormat="1" applyFont="1" applyFill="1" applyBorder="1" applyAlignment="1">
      <alignment horizontal="center" vertical="center" wrapText="1"/>
    </xf>
    <xf numFmtId="164" fontId="14" fillId="5" borderId="1" xfId="0" applyNumberFormat="1" applyFont="1" applyFill="1" applyBorder="1" applyAlignment="1">
      <alignment horizontal="center" vertical="center" wrapText="1"/>
    </xf>
    <xf numFmtId="169" fontId="6" fillId="5" borderId="1" xfId="0" applyNumberFormat="1" applyFont="1" applyFill="1" applyBorder="1" applyAlignment="1">
      <alignment horizontal="right" vertical="center" wrapText="1"/>
    </xf>
    <xf numFmtId="0" fontId="15" fillId="0" borderId="0" xfId="0" applyFont="1"/>
    <xf numFmtId="0" fontId="17" fillId="0" borderId="0" xfId="0" applyFont="1"/>
    <xf numFmtId="0" fontId="18" fillId="0" borderId="0" xfId="0" applyFont="1"/>
    <xf numFmtId="0" fontId="19" fillId="0" borderId="0" xfId="0" applyFont="1"/>
    <xf numFmtId="0" fontId="19" fillId="8" borderId="0" xfId="0" applyFont="1" applyFill="1"/>
    <xf numFmtId="0" fontId="19" fillId="8" borderId="0" xfId="0" applyFont="1" applyFill="1" applyAlignment="1">
      <alignment horizontal="center"/>
    </xf>
    <xf numFmtId="0" fontId="20" fillId="0" borderId="0" xfId="0" applyFont="1"/>
    <xf numFmtId="0" fontId="0" fillId="0" borderId="0" xfId="0" applyAlignment="1">
      <alignment horizontal="center"/>
    </xf>
    <xf numFmtId="165" fontId="0" fillId="0" borderId="0" xfId="0" applyNumberFormat="1" applyAlignment="1">
      <alignment horizontal="center"/>
    </xf>
    <xf numFmtId="168" fontId="0" fillId="0" borderId="0" xfId="0" applyNumberFormat="1" applyAlignment="1">
      <alignment horizontal="center"/>
    </xf>
    <xf numFmtId="0" fontId="18" fillId="7" borderId="0" xfId="0" applyFont="1" applyFill="1"/>
    <xf numFmtId="0" fontId="18" fillId="7" borderId="0" xfId="0" applyFont="1" applyFill="1" applyAlignment="1">
      <alignment horizontal="center"/>
    </xf>
    <xf numFmtId="170" fontId="19" fillId="0" borderId="0" xfId="0" applyNumberFormat="1" applyFont="1"/>
    <xf numFmtId="170" fontId="0" fillId="0" borderId="0" xfId="0" applyNumberFormat="1"/>
    <xf numFmtId="171" fontId="0" fillId="0" borderId="0" xfId="0" applyNumberFormat="1"/>
    <xf numFmtId="0" fontId="0" fillId="7" borderId="0" xfId="0" applyFill="1"/>
    <xf numFmtId="170" fontId="18" fillId="0" borderId="0" xfId="0" applyNumberFormat="1" applyFont="1"/>
    <xf numFmtId="170" fontId="18" fillId="7" borderId="0" xfId="0" applyNumberFormat="1" applyFont="1" applyFill="1"/>
    <xf numFmtId="171" fontId="18" fillId="7" borderId="0" xfId="0" applyNumberFormat="1" applyFont="1" applyFill="1"/>
    <xf numFmtId="0" fontId="21" fillId="8" borderId="0" xfId="0" applyFont="1" applyFill="1"/>
    <xf numFmtId="0" fontId="18" fillId="0" borderId="0" xfId="0" applyFont="1" applyAlignment="1">
      <alignment horizontal="center"/>
    </xf>
    <xf numFmtId="171" fontId="0" fillId="0" borderId="0" xfId="0" applyNumberFormat="1" applyAlignment="1">
      <alignment horizontal="right"/>
    </xf>
    <xf numFmtId="169" fontId="0" fillId="0" borderId="0" xfId="0" applyNumberFormat="1" applyAlignment="1">
      <alignment horizontal="right"/>
    </xf>
    <xf numFmtId="164" fontId="18" fillId="0" borderId="0" xfId="0" applyNumberFormat="1" applyFont="1" applyAlignment="1">
      <alignment horizontal="right"/>
    </xf>
    <xf numFmtId="164" fontId="13" fillId="3" borderId="0" xfId="0" applyNumberFormat="1" applyFont="1" applyFill="1" applyAlignment="1">
      <alignment horizontal="right" vertical="center" wrapText="1"/>
    </xf>
    <xf numFmtId="0" fontId="22" fillId="0" borderId="0" xfId="0" applyFont="1"/>
    <xf numFmtId="164" fontId="0" fillId="0" borderId="0" xfId="0" applyNumberFormat="1" applyAlignment="1">
      <alignment horizontal="center"/>
    </xf>
    <xf numFmtId="169" fontId="0" fillId="0" borderId="0" xfId="0" applyNumberFormat="1" applyAlignment="1">
      <alignment horizontal="center"/>
    </xf>
    <xf numFmtId="0" fontId="18" fillId="8" borderId="0" xfId="0" applyFont="1" applyFill="1"/>
    <xf numFmtId="170" fontId="0" fillId="0" borderId="0" xfId="0" applyNumberFormat="1" applyAlignment="1">
      <alignment horizontal="right"/>
    </xf>
    <xf numFmtId="170" fontId="18" fillId="0" borderId="0" xfId="0" applyNumberFormat="1" applyFont="1" applyAlignment="1">
      <alignment horizontal="right"/>
    </xf>
    <xf numFmtId="172" fontId="18" fillId="0" borderId="0" xfId="0" applyNumberFormat="1" applyFont="1" applyAlignment="1">
      <alignment horizontal="right"/>
    </xf>
    <xf numFmtId="173" fontId="0" fillId="0" borderId="0" xfId="0" applyNumberFormat="1" applyAlignment="1">
      <alignment horizontal="center"/>
    </xf>
    <xf numFmtId="173" fontId="18" fillId="0" borderId="0" xfId="0" applyNumberFormat="1" applyFont="1" applyAlignment="1">
      <alignment horizontal="right"/>
    </xf>
    <xf numFmtId="165" fontId="19" fillId="8" borderId="0" xfId="0" applyNumberFormat="1" applyFont="1" applyFill="1" applyAlignment="1">
      <alignment horizontal="right"/>
    </xf>
    <xf numFmtId="174" fontId="18" fillId="0" borderId="0" xfId="0" applyNumberFormat="1" applyFont="1" applyAlignment="1">
      <alignment horizontal="right"/>
    </xf>
    <xf numFmtId="0" fontId="19" fillId="0" borderId="0" xfId="0" applyFont="1" applyAlignment="1">
      <alignment horizontal="center"/>
    </xf>
    <xf numFmtId="165" fontId="0" fillId="0" borderId="0" xfId="0" applyNumberFormat="1"/>
    <xf numFmtId="172" fontId="0" fillId="0" borderId="0" xfId="0" applyNumberFormat="1"/>
    <xf numFmtId="172" fontId="18" fillId="7" borderId="0" xfId="0" applyNumberFormat="1" applyFont="1" applyFill="1"/>
    <xf numFmtId="0" fontId="23" fillId="4" borderId="1" xfId="0" applyFont="1" applyFill="1" applyBorder="1" applyAlignment="1">
      <alignment horizontal="left" vertical="center" wrapText="1"/>
    </xf>
    <xf numFmtId="164" fontId="13" fillId="9" borderId="1" xfId="0" applyNumberFormat="1" applyFont="1" applyFill="1" applyBorder="1" applyAlignment="1">
      <alignment horizontal="center" vertical="center" wrapText="1"/>
    </xf>
    <xf numFmtId="9" fontId="6" fillId="5" borderId="1" xfId="0" applyNumberFormat="1" applyFont="1" applyFill="1" applyBorder="1" applyAlignment="1">
      <alignment horizontal="center" vertical="center" wrapText="1"/>
    </xf>
    <xf numFmtId="0" fontId="18" fillId="9" borderId="0" xfId="0" applyFont="1" applyFill="1" applyAlignment="1">
      <alignment horizontal="center"/>
    </xf>
    <xf numFmtId="3" fontId="0" fillId="0" borderId="0" xfId="0" applyNumberFormat="1" applyAlignment="1">
      <alignment horizontal="center"/>
    </xf>
    <xf numFmtId="3" fontId="16" fillId="0" borderId="0" xfId="0" applyNumberFormat="1" applyFont="1" applyAlignment="1">
      <alignment horizontal="center"/>
    </xf>
    <xf numFmtId="3" fontId="18" fillId="0" borderId="0" xfId="0" applyNumberFormat="1" applyFont="1" applyAlignment="1">
      <alignment horizontal="center"/>
    </xf>
    <xf numFmtId="3" fontId="18" fillId="8" borderId="0" xfId="0" applyNumberFormat="1" applyFont="1" applyFill="1" applyAlignment="1">
      <alignment horizontal="center"/>
    </xf>
    <xf numFmtId="3" fontId="18" fillId="0" borderId="0" xfId="0" applyNumberFormat="1" applyFont="1" applyAlignment="1">
      <alignment horizontal="right"/>
    </xf>
    <xf numFmtId="3" fontId="13" fillId="3" borderId="0" xfId="0" applyNumberFormat="1" applyFont="1" applyFill="1" applyAlignment="1">
      <alignment horizontal="center" vertical="center" wrapText="1"/>
    </xf>
    <xf numFmtId="10" fontId="16" fillId="0" borderId="0" xfId="0" applyNumberFormat="1" applyFont="1" applyAlignment="1">
      <alignment horizontal="center"/>
    </xf>
    <xf numFmtId="0" fontId="24" fillId="10" borderId="0" xfId="0" applyFont="1" applyFill="1"/>
    <xf numFmtId="0" fontId="26" fillId="0" borderId="0" xfId="0" applyFont="1"/>
    <xf numFmtId="0" fontId="27" fillId="0" borderId="0" xfId="0" applyFont="1"/>
    <xf numFmtId="0" fontId="25" fillId="10" borderId="0" xfId="0" applyFont="1" applyFill="1"/>
    <xf numFmtId="0" fontId="28" fillId="0" borderId="0" xfId="0" applyFont="1"/>
    <xf numFmtId="0" fontId="29" fillId="0" borderId="0" xfId="0" applyFont="1" applyAlignment="1">
      <alignment horizontal="center"/>
    </xf>
    <xf numFmtId="0" fontId="28" fillId="0" borderId="0" xfId="0" applyFont="1" applyAlignment="1">
      <alignment horizontal="center"/>
    </xf>
    <xf numFmtId="15" fontId="28" fillId="0" borderId="0" xfId="0" applyNumberFormat="1" applyFont="1" applyAlignment="1">
      <alignment horizontal="center"/>
    </xf>
    <xf numFmtId="165" fontId="28" fillId="0" borderId="0" xfId="0" applyNumberFormat="1" applyFont="1" applyAlignment="1">
      <alignment horizontal="center"/>
    </xf>
    <xf numFmtId="0" fontId="31" fillId="0" borderId="0" xfId="0" applyFont="1" applyAlignment="1">
      <alignment horizontal="center"/>
    </xf>
    <xf numFmtId="0" fontId="29" fillId="11" borderId="0" xfId="0" applyFont="1" applyFill="1" applyAlignment="1">
      <alignment horizontal="center"/>
    </xf>
    <xf numFmtId="0" fontId="28" fillId="11" borderId="0" xfId="0" applyFont="1" applyFill="1"/>
    <xf numFmtId="0" fontId="28" fillId="11" borderId="0" xfId="0" applyFont="1" applyFill="1" applyAlignment="1">
      <alignment horizontal="center"/>
    </xf>
    <xf numFmtId="15" fontId="28" fillId="11" borderId="0" xfId="0" applyNumberFormat="1" applyFont="1" applyFill="1" applyAlignment="1">
      <alignment horizontal="center"/>
    </xf>
    <xf numFmtId="165" fontId="28" fillId="11" borderId="0" xfId="0" applyNumberFormat="1" applyFont="1" applyFill="1" applyAlignment="1">
      <alignment horizontal="center"/>
    </xf>
    <xf numFmtId="0" fontId="30" fillId="11" borderId="0" xfId="0" applyFont="1" applyFill="1" applyAlignment="1">
      <alignment horizontal="center"/>
    </xf>
    <xf numFmtId="0" fontId="31" fillId="11" borderId="0" xfId="0" applyFont="1" applyFill="1" applyAlignment="1">
      <alignment horizontal="center"/>
    </xf>
    <xf numFmtId="0" fontId="25" fillId="10" borderId="0" xfId="0" applyFont="1" applyFill="1" applyAlignment="1">
      <alignment horizontal="left"/>
    </xf>
    <xf numFmtId="0" fontId="32" fillId="10" borderId="0" xfId="0" applyFont="1" applyFill="1" applyAlignment="1">
      <alignment horizontal="center"/>
    </xf>
    <xf numFmtId="0" fontId="33" fillId="0" borderId="0" xfId="0" applyFont="1"/>
    <xf numFmtId="49" fontId="28" fillId="11" borderId="0" xfId="0" applyNumberFormat="1" applyFont="1" applyFill="1" applyAlignment="1">
      <alignment horizontal="center"/>
    </xf>
    <xf numFmtId="49" fontId="28" fillId="0" borderId="0" xfId="0" applyNumberFormat="1" applyFont="1" applyAlignment="1">
      <alignment horizontal="center"/>
    </xf>
    <xf numFmtId="171" fontId="25" fillId="10" borderId="0" xfId="0" applyNumberFormat="1" applyFont="1" applyFill="1"/>
    <xf numFmtId="10" fontId="25" fillId="10" borderId="0" xfId="0" applyNumberFormat="1" applyFont="1" applyFill="1"/>
    <xf numFmtId="171" fontId="0" fillId="11" borderId="0" xfId="0" applyNumberFormat="1" applyFill="1" applyAlignment="1">
      <alignment horizontal="right"/>
    </xf>
    <xf numFmtId="175" fontId="0" fillId="11" borderId="0" xfId="0" applyNumberFormat="1" applyFill="1" applyAlignment="1">
      <alignment horizontal="center"/>
    </xf>
    <xf numFmtId="0" fontId="0" fillId="11" borderId="0" xfId="0" applyFill="1"/>
    <xf numFmtId="0" fontId="0" fillId="12" borderId="2" xfId="0" applyFill="1" applyBorder="1"/>
    <xf numFmtId="0" fontId="16" fillId="0" borderId="0" xfId="0" applyFont="1" applyAlignment="1">
      <alignment horizontal="center"/>
    </xf>
    <xf numFmtId="0" fontId="16" fillId="0" borderId="0" xfId="0" applyFont="1" applyAlignment="1">
      <alignment horizontal="left"/>
    </xf>
    <xf numFmtId="171" fontId="28" fillId="0" borderId="0" xfId="0" applyNumberFormat="1" applyFont="1" applyAlignment="1">
      <alignment horizontal="right"/>
    </xf>
    <xf numFmtId="171" fontId="18" fillId="0" borderId="0" xfId="0" applyNumberFormat="1" applyFont="1" applyAlignment="1">
      <alignment horizontal="right"/>
    </xf>
    <xf numFmtId="0" fontId="16" fillId="11" borderId="0" xfId="0" applyFont="1" applyFill="1" applyAlignment="1">
      <alignment horizontal="center"/>
    </xf>
    <xf numFmtId="0" fontId="16" fillId="11" borderId="0" xfId="0" applyFont="1" applyFill="1" applyAlignment="1">
      <alignment horizontal="left"/>
    </xf>
    <xf numFmtId="171" fontId="28" fillId="11" borderId="0" xfId="0" applyNumberFormat="1" applyFont="1" applyFill="1" applyAlignment="1">
      <alignment horizontal="right"/>
    </xf>
    <xf numFmtId="171" fontId="18" fillId="11" borderId="0" xfId="0" applyNumberFormat="1" applyFont="1" applyFill="1" applyAlignment="1">
      <alignment horizontal="right"/>
    </xf>
    <xf numFmtId="0" fontId="18" fillId="11" borderId="0" xfId="0" applyFont="1" applyFill="1" applyAlignment="1">
      <alignment horizontal="center"/>
    </xf>
    <xf numFmtId="0" fontId="34" fillId="4" borderId="1" xfId="0" applyFont="1" applyFill="1" applyBorder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8" fillId="3" borderId="0" xfId="0" applyFont="1" applyFill="1" applyAlignment="1">
      <alignment horizontal="center" vertical="center" wrapText="1"/>
    </xf>
    <xf numFmtId="0" fontId="12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7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4" fillId="8" borderId="0" xfId="0" applyFont="1" applyFill="1" applyAlignment="1">
      <alignment horizontal="left" vertical="center" wrapText="1"/>
    </xf>
    <xf numFmtId="0" fontId="4" fillId="12" borderId="2" xfId="0" applyFont="1" applyFill="1" applyBorder="1" applyAlignment="1">
      <alignment horizontal="left" vertical="center" wrapText="1"/>
    </xf>
  </cellXfs>
  <cellStyles count="1">
    <cellStyle name="Normal" xfId="0" builtinId="0"/>
  </cellStyles>
  <dxfs count="19">
    <dxf>
      <font>
        <b/>
        <i val="0"/>
        <color rgb="FFC00000"/>
      </font>
    </dxf>
    <dxf>
      <font>
        <color rgb="FF5B2C82"/>
      </font>
      <fill>
        <patternFill patternType="solid">
          <fgColor indexed="64"/>
          <bgColor rgb="FFE2D5F0"/>
        </patternFill>
      </fill>
    </dxf>
    <dxf>
      <font>
        <color rgb="FF1F3864"/>
      </font>
      <fill>
        <patternFill patternType="solid">
          <fgColor indexed="64"/>
          <bgColor rgb="FFD9E1F2"/>
        </patternFill>
      </fill>
    </dxf>
    <dxf>
      <font>
        <color rgb="FF7F6000"/>
      </font>
      <fill>
        <patternFill patternType="solid">
          <fgColor indexed="64"/>
          <bgColor rgb="FFFFF2CC"/>
        </patternFill>
      </fill>
    </dxf>
    <dxf>
      <font>
        <b/>
        <i val="0"/>
        <color rgb="FFC00000"/>
      </font>
    </dxf>
    <dxf>
      <font>
        <color rgb="FFBF8F00"/>
      </font>
    </dxf>
    <dxf>
      <font>
        <b/>
        <i val="0"/>
        <color rgb="FF00A050"/>
      </font>
    </dxf>
    <dxf>
      <font>
        <color rgb="FF5B2C82"/>
      </font>
      <fill>
        <patternFill patternType="solid">
          <fgColor indexed="64"/>
          <bgColor rgb="FFE2D5F0"/>
        </patternFill>
      </fill>
    </dxf>
    <dxf>
      <font>
        <color rgb="FF1F3864"/>
      </font>
      <fill>
        <patternFill patternType="solid">
          <fgColor indexed="64"/>
          <bgColor rgb="FFD9E1F2"/>
        </patternFill>
      </fill>
    </dxf>
    <dxf>
      <font>
        <color rgb="FF7F6000"/>
      </font>
      <fill>
        <patternFill patternType="solid">
          <fgColor indexed="64"/>
          <bgColor rgb="FFFFF2CC"/>
        </patternFill>
      </fill>
    </dxf>
    <dxf>
      <font>
        <b/>
        <i val="0"/>
        <color rgb="FFC00000"/>
      </font>
    </dxf>
    <dxf>
      <font>
        <color rgb="FFBF8F00"/>
      </font>
    </dxf>
    <dxf>
      <font>
        <b/>
        <i val="0"/>
        <color rgb="FF00A050"/>
      </font>
    </dxf>
    <dxf>
      <font>
        <b/>
        <i val="0"/>
        <color rgb="FFC00000"/>
      </font>
    </dxf>
    <dxf>
      <font>
        <color rgb="FF999999"/>
      </font>
    </dxf>
    <dxf>
      <font>
        <b/>
        <i val="0"/>
        <color rgb="FF00A050"/>
      </font>
    </dxf>
    <dxf>
      <font>
        <color rgb="FF5B2C82"/>
      </font>
      <fill>
        <patternFill patternType="solid">
          <fgColor indexed="64"/>
          <bgColor rgb="FFE2D5F0"/>
        </patternFill>
      </fill>
    </dxf>
    <dxf>
      <font>
        <color rgb="FF1F3864"/>
      </font>
      <fill>
        <patternFill patternType="solid">
          <fgColor indexed="64"/>
          <bgColor rgb="FFD9E1F2"/>
        </patternFill>
      </fill>
    </dxf>
    <dxf>
      <font>
        <color rgb="FF7F6000"/>
      </font>
      <fill>
        <patternFill patternType="solid">
          <fgColor indexed="64"/>
          <bgColor rgb="FFFFF2CC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BF0"/>
      <rgbColor rgb="FFFF00FF"/>
      <rgbColor rgb="FF00FFFF"/>
      <rgbColor rgb="FF800000"/>
      <rgbColor rgb="FF008000"/>
      <rgbColor rgb="FF000080"/>
      <rgbColor rgb="FF856404"/>
      <rgbColor rgb="FF800080"/>
      <rgbColor rgb="FF1A7A4A"/>
      <rgbColor rgb="FFCCCCCC"/>
      <rgbColor rgb="FF888888"/>
      <rgbColor rgb="FF9999FF"/>
      <rgbColor rgb="FF993366"/>
      <rgbColor rgb="FFFFF3CD"/>
      <rgbColor rgb="FFE1F5EE"/>
      <rgbColor rgb="FF660066"/>
      <rgbColor rgb="FFFF8080"/>
      <rgbColor rgb="FF0066CC"/>
      <rgbColor rgb="FFD6D0F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BF4FF"/>
      <rgbColor rgb="FFD4EDDA"/>
      <rgbColor rgb="FFFFFBEA"/>
      <rgbColor rgb="FFCBD5E0"/>
      <rgbColor rgb="FFF0F0F0"/>
      <rgbColor rgb="FFF8F9FA"/>
      <rgbColor rgb="FFDEE2E6"/>
      <rgbColor rgb="FF3366FF"/>
      <rgbColor rgb="FF33CCCC"/>
      <rgbColor rgb="FF99CC00"/>
      <rgbColor rgb="FFFFCC00"/>
      <rgbColor rgb="FFD4A017"/>
      <rgbColor rgb="FFFF6600"/>
      <rgbColor rgb="FF666666"/>
      <rgbColor rgb="FF999999"/>
      <rgbColor rgb="FF2C3E50"/>
      <rgbColor rgb="FF339966"/>
      <rgbColor rgb="FF374151"/>
      <rgbColor rgb="FF444444"/>
      <rgbColor rgb="FF993300"/>
      <rgbColor rgb="FF993366"/>
      <rgbColor rgb="FF4B3AB7"/>
      <rgbColor rgb="FF1F2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350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FD599229-1EBD-4A58-979D-421713B377C3}">
  <we:reference id="29673e3c-d826-4f00-92ee-162334a52b1a" version="1.0.0.8" store="excatalog" storeType="excatalog"/>
  <we:alternateReferences>
    <we:reference id="WA200009404" version="1.0.0.8" store="en-us" storeType="omex"/>
  </we:alternateReferences>
  <we:properties>
    <we:property name="claude.fileId" value="&quot;8ea17b4a-458d-40dd-8b10-b5872758b050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 xmlns=""/>
    </a:ext>
  </we:extLst>
</we:webextension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C3E50"/>
  </sheetPr>
  <dimension ref="A1:E42"/>
  <sheetViews>
    <sheetView showGridLines="0" topLeftCell="A16" zoomScaleNormal="100" workbookViewId="0">
      <selection activeCell="A32" sqref="A32"/>
    </sheetView>
  </sheetViews>
  <sheetFormatPr defaultColWidth="8.7109375" defaultRowHeight="15"/>
  <cols>
    <col min="1" max="1" width="41.140625" customWidth="1"/>
    <col min="2" max="2" width="18" customWidth="1"/>
    <col min="3" max="4" width="12.140625" bestFit="1" customWidth="1"/>
    <col min="5" max="5" width="28" customWidth="1"/>
  </cols>
  <sheetData>
    <row r="1" spans="1:5" ht="9.75" customHeight="1"/>
    <row r="2" spans="1:5" ht="36" customHeight="1">
      <c r="A2" s="119" t="s">
        <v>0</v>
      </c>
      <c r="B2" s="120"/>
      <c r="C2" s="120"/>
      <c r="D2" s="120"/>
      <c r="E2" s="120"/>
    </row>
    <row r="3" spans="1:5" ht="7.5" customHeight="1">
      <c r="A3" s="121" t="s">
        <v>1</v>
      </c>
      <c r="B3" s="122"/>
      <c r="C3" s="122"/>
      <c r="D3" s="122"/>
      <c r="E3" s="122"/>
    </row>
    <row r="5" spans="1:5" ht="21.75" customHeight="1">
      <c r="A5" s="17" t="s">
        <v>2</v>
      </c>
      <c r="B5" s="17" t="s">
        <v>3</v>
      </c>
      <c r="C5" s="17" t="s">
        <v>4</v>
      </c>
      <c r="D5" s="17" t="s">
        <v>5</v>
      </c>
      <c r="E5" s="17" t="s">
        <v>6</v>
      </c>
    </row>
    <row r="6" spans="1:5" ht="18" customHeight="1">
      <c r="A6" s="117"/>
      <c r="B6" s="117"/>
      <c r="C6" s="117"/>
      <c r="D6" s="117"/>
      <c r="E6" s="117"/>
    </row>
    <row r="7" spans="1:5" ht="19.5" customHeight="1">
      <c r="A7" s="19" t="s">
        <v>7</v>
      </c>
      <c r="B7" s="2"/>
      <c r="C7" s="2"/>
      <c r="D7" s="2"/>
      <c r="E7" s="3"/>
    </row>
    <row r="8" spans="1:5" ht="19.5" customHeight="1">
      <c r="A8" s="1" t="s">
        <v>8</v>
      </c>
      <c r="B8" s="2" t="s">
        <v>9</v>
      </c>
      <c r="C8" s="2" t="s">
        <v>10</v>
      </c>
      <c r="D8" s="2" t="s">
        <v>11</v>
      </c>
      <c r="E8" s="3" t="s">
        <v>12</v>
      </c>
    </row>
    <row r="9" spans="1:5" ht="19.5" customHeight="1">
      <c r="A9" s="1" t="s">
        <v>13</v>
      </c>
      <c r="B9" s="20">
        <v>1000000</v>
      </c>
      <c r="C9" s="20">
        <v>3000000</v>
      </c>
      <c r="D9" s="20">
        <v>5000000</v>
      </c>
      <c r="E9" s="3" t="s">
        <v>14</v>
      </c>
    </row>
    <row r="10" spans="1:5" ht="33" customHeight="1">
      <c r="A10" s="1" t="s">
        <v>15</v>
      </c>
      <c r="B10" s="21">
        <v>0.08</v>
      </c>
      <c r="C10" s="21">
        <v>0.1</v>
      </c>
      <c r="D10" s="21">
        <v>0.12</v>
      </c>
      <c r="E10" s="3" t="s">
        <v>16</v>
      </c>
    </row>
    <row r="11" spans="1:5" ht="22.5" customHeight="1">
      <c r="A11" s="1"/>
      <c r="B11" s="5"/>
      <c r="C11" s="5"/>
      <c r="D11" s="5"/>
      <c r="E11" s="3"/>
    </row>
    <row r="12" spans="1:5" ht="18" customHeight="1">
      <c r="A12" s="123" t="s">
        <v>17</v>
      </c>
      <c r="B12" s="117"/>
      <c r="C12" s="117"/>
      <c r="D12" s="117"/>
      <c r="E12" s="117"/>
    </row>
    <row r="13" spans="1:5" ht="19.5" customHeight="1">
      <c r="A13" s="1" t="s">
        <v>8</v>
      </c>
      <c r="B13" s="6" t="s">
        <v>9</v>
      </c>
      <c r="C13" s="6" t="s">
        <v>10</v>
      </c>
      <c r="D13" s="6" t="s">
        <v>11</v>
      </c>
      <c r="E13" s="3" t="s">
        <v>12</v>
      </c>
    </row>
    <row r="14" spans="1:5" ht="18" customHeight="1">
      <c r="A14" s="16" t="s">
        <v>13</v>
      </c>
      <c r="B14" s="52">
        <v>3000000</v>
      </c>
      <c r="C14" s="52">
        <v>7000000</v>
      </c>
      <c r="D14" s="52">
        <v>7100000</v>
      </c>
      <c r="E14" s="16"/>
    </row>
    <row r="15" spans="1:5" ht="19.5" customHeight="1">
      <c r="A15" s="1" t="s">
        <v>18</v>
      </c>
      <c r="B15" s="23">
        <v>1</v>
      </c>
      <c r="C15" s="23">
        <v>1.5</v>
      </c>
      <c r="D15" s="23">
        <v>2</v>
      </c>
      <c r="E15" s="3" t="s">
        <v>19</v>
      </c>
    </row>
    <row r="16" spans="1:5" ht="19.5" customHeight="1">
      <c r="A16" s="1" t="s">
        <v>20</v>
      </c>
      <c r="B16" s="22">
        <v>1</v>
      </c>
      <c r="C16" s="7"/>
      <c r="D16" s="7"/>
      <c r="E16" s="3" t="s">
        <v>21</v>
      </c>
    </row>
    <row r="17" spans="1:5" ht="19.5" customHeight="1">
      <c r="A17" s="1" t="s">
        <v>22</v>
      </c>
      <c r="B17" s="24">
        <f>$B$16*B15</f>
        <v>1</v>
      </c>
      <c r="C17" s="24">
        <f>$B$16*C15</f>
        <v>1.5</v>
      </c>
      <c r="D17" s="24">
        <f>$B$16*D15</f>
        <v>2</v>
      </c>
      <c r="E17" s="3" t="s">
        <v>23</v>
      </c>
    </row>
    <row r="18" spans="1:5" ht="19.5" customHeight="1">
      <c r="A18" s="1"/>
      <c r="B18" s="9"/>
      <c r="C18" s="9"/>
      <c r="D18" s="9"/>
      <c r="E18" s="3"/>
    </row>
    <row r="19" spans="1:5" ht="18" customHeight="1">
      <c r="A19" s="123" t="s">
        <v>24</v>
      </c>
      <c r="B19" s="117"/>
      <c r="C19" s="117"/>
      <c r="D19" s="117"/>
      <c r="E19" s="117"/>
    </row>
    <row r="20" spans="1:5" ht="62.25" customHeight="1">
      <c r="A20" s="1" t="s">
        <v>25</v>
      </c>
      <c r="B20" s="25" t="s">
        <v>26</v>
      </c>
      <c r="C20" s="4"/>
      <c r="D20" s="4"/>
      <c r="E20" s="3"/>
    </row>
    <row r="21" spans="1:5" ht="70.5" customHeight="1">
      <c r="A21" s="1" t="s">
        <v>27</v>
      </c>
      <c r="B21" s="26" t="s">
        <v>28</v>
      </c>
      <c r="C21" s="5"/>
      <c r="D21" s="5"/>
      <c r="E21" s="3"/>
    </row>
    <row r="22" spans="1:5" ht="24.75" customHeight="1">
      <c r="A22" s="1" t="s">
        <v>29</v>
      </c>
      <c r="B22" s="25" t="s">
        <v>30</v>
      </c>
      <c r="C22" s="4"/>
      <c r="D22" s="4"/>
      <c r="E22" s="3"/>
    </row>
    <row r="23" spans="1:5" ht="24.75" customHeight="1">
      <c r="A23" s="1" t="s">
        <v>31</v>
      </c>
      <c r="B23" s="25" t="s">
        <v>32</v>
      </c>
      <c r="C23" s="4"/>
      <c r="D23" s="4"/>
      <c r="E23" s="3"/>
    </row>
    <row r="24" spans="1:5" ht="19.5" customHeight="1">
      <c r="A24" s="1"/>
      <c r="B24" s="4"/>
      <c r="C24" s="4"/>
      <c r="D24" s="4"/>
      <c r="E24" s="3"/>
    </row>
    <row r="25" spans="1:5" ht="19.5" customHeight="1">
      <c r="A25" s="19" t="s">
        <v>33</v>
      </c>
      <c r="B25" s="4"/>
      <c r="C25" s="4"/>
      <c r="D25" s="4"/>
      <c r="E25" s="3"/>
    </row>
    <row r="26" spans="1:5" ht="19.5" customHeight="1">
      <c r="A26" s="1" t="s">
        <v>34</v>
      </c>
      <c r="B26" s="27">
        <v>1</v>
      </c>
      <c r="C26" s="27">
        <v>1.25</v>
      </c>
      <c r="D26" s="27">
        <v>1.7</v>
      </c>
      <c r="E26" s="3" t="s">
        <v>35</v>
      </c>
    </row>
    <row r="27" spans="1:5" ht="18" customHeight="1">
      <c r="A27" s="117"/>
      <c r="B27" s="117"/>
      <c r="C27" s="117"/>
      <c r="D27" s="117"/>
      <c r="E27" s="117"/>
    </row>
    <row r="28" spans="1:5" ht="22.5" customHeight="1">
      <c r="A28" s="19" t="s">
        <v>36</v>
      </c>
      <c r="B28" s="5"/>
      <c r="C28" s="5"/>
      <c r="D28" s="5"/>
      <c r="E28" s="3"/>
    </row>
    <row r="29" spans="1:5" ht="19.5" customHeight="1">
      <c r="A29" s="68" t="s">
        <v>37</v>
      </c>
      <c r="B29" s="5"/>
      <c r="C29" s="5"/>
      <c r="D29" s="5"/>
      <c r="E29" s="3"/>
    </row>
    <row r="30" spans="1:5" ht="19.5" customHeight="1">
      <c r="A30" s="1"/>
      <c r="B30" s="69" t="s">
        <v>38</v>
      </c>
      <c r="C30" s="69" t="s">
        <v>39</v>
      </c>
      <c r="D30" s="69" t="s">
        <v>40</v>
      </c>
      <c r="E30" s="3"/>
    </row>
    <row r="31" spans="1:5" ht="19.5" customHeight="1">
      <c r="A31" s="18" t="s">
        <v>41</v>
      </c>
      <c r="B31" s="4">
        <v>2000</v>
      </c>
      <c r="C31" s="4">
        <v>5000</v>
      </c>
      <c r="D31" s="4">
        <v>10000</v>
      </c>
      <c r="E31" s="3"/>
    </row>
    <row r="32" spans="1:5" ht="19.5" customHeight="1">
      <c r="A32" s="116" t="s">
        <v>42</v>
      </c>
      <c r="B32" s="70">
        <v>0.05</v>
      </c>
      <c r="C32" s="70">
        <v>0.1</v>
      </c>
      <c r="D32" s="70">
        <v>0.15</v>
      </c>
      <c r="E32" s="3"/>
    </row>
    <row r="33" spans="1:5" ht="18" customHeight="1">
      <c r="A33" s="16" t="s">
        <v>43</v>
      </c>
      <c r="B33" s="77">
        <v>100</v>
      </c>
      <c r="C33" s="77">
        <v>200</v>
      </c>
      <c r="D33" s="77">
        <v>300</v>
      </c>
      <c r="E33" s="16"/>
    </row>
    <row r="34" spans="1:5" ht="41.25" customHeight="1">
      <c r="A34" s="68" t="s">
        <v>44</v>
      </c>
      <c r="B34" s="2"/>
      <c r="C34" s="2"/>
      <c r="D34" s="2"/>
      <c r="E34" s="3"/>
    </row>
    <row r="35" spans="1:5" ht="19.5" customHeight="1">
      <c r="A35" s="1" t="s">
        <v>45</v>
      </c>
      <c r="B35" s="4"/>
      <c r="C35" s="4"/>
      <c r="D35" s="4"/>
      <c r="E35" s="3"/>
    </row>
    <row r="36" spans="1:5" ht="22.5" customHeight="1">
      <c r="A36" s="1"/>
      <c r="B36" s="4"/>
      <c r="C36" s="4"/>
      <c r="D36" s="4"/>
      <c r="E36" s="3"/>
    </row>
    <row r="37" spans="1:5" ht="22.5" customHeight="1">
      <c r="A37" s="1"/>
      <c r="B37" s="4"/>
      <c r="C37" s="4"/>
      <c r="D37" s="4"/>
      <c r="E37" s="3"/>
    </row>
    <row r="38" spans="1:5" ht="15" customHeight="1">
      <c r="A38" s="117"/>
      <c r="B38" s="117"/>
      <c r="C38" s="117"/>
      <c r="D38" s="117"/>
      <c r="E38" s="117"/>
    </row>
    <row r="39" spans="1:5" s="12" customFormat="1" ht="15" customHeight="1">
      <c r="A39" s="10"/>
      <c r="B39" s="8"/>
      <c r="C39" s="8"/>
      <c r="D39" s="8"/>
      <c r="E39" s="11"/>
    </row>
    <row r="40" spans="1:5" s="12" customFormat="1" ht="15" customHeight="1">
      <c r="A40" s="10"/>
      <c r="B40" s="13"/>
      <c r="C40" s="13"/>
      <c r="D40" s="13"/>
      <c r="E40" s="11"/>
    </row>
    <row r="41" spans="1:5" ht="15.75" customHeight="1">
      <c r="A41" s="118"/>
      <c r="B41" s="118"/>
    </row>
    <row r="42" spans="1:5" ht="21.75" customHeight="1">
      <c r="A42" s="14"/>
      <c r="B42" s="15"/>
    </row>
  </sheetData>
  <mergeCells count="8">
    <mergeCell ref="A27:E27"/>
    <mergeCell ref="A38:E38"/>
    <mergeCell ref="A41:B41"/>
    <mergeCell ref="A2:E2"/>
    <mergeCell ref="A3:E3"/>
    <mergeCell ref="A6:E6"/>
    <mergeCell ref="A12:E12"/>
    <mergeCell ref="A19:E19"/>
  </mergeCells>
  <pageMargins left="0.75" right="0.75" top="1" bottom="1" header="0.511811023622047" footer="0.511811023622047"/>
  <pageSetup paperSize="9" fitToWidth="0" fitToHeight="0"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A7A4A"/>
  </sheetPr>
  <dimension ref="A1:J78"/>
  <sheetViews>
    <sheetView showGridLines="0" tabSelected="1" zoomScaleNormal="100" workbookViewId="0">
      <selection activeCell="J19" sqref="J19"/>
    </sheetView>
  </sheetViews>
  <sheetFormatPr defaultColWidth="8.7109375" defaultRowHeight="15"/>
  <cols>
    <col min="1" max="1" width="14" customWidth="1"/>
    <col min="2" max="2" width="19.85546875" bestFit="1" customWidth="1"/>
    <col min="3" max="3" width="15.85546875" bestFit="1" customWidth="1"/>
    <col min="4" max="4" width="21.7109375" bestFit="1" customWidth="1"/>
    <col min="5" max="5" width="14.140625" bestFit="1" customWidth="1"/>
    <col min="6" max="6" width="16.7109375" bestFit="1" customWidth="1"/>
    <col min="7" max="7" width="24.28515625" bestFit="1" customWidth="1"/>
    <col min="8" max="8" width="16.42578125" bestFit="1" customWidth="1"/>
    <col min="9" max="9" width="16.85546875" customWidth="1"/>
    <col min="10" max="10" width="14" customWidth="1"/>
    <col min="11" max="11" width="10" customWidth="1"/>
    <col min="12" max="12" width="12" customWidth="1"/>
    <col min="13" max="14" width="14" customWidth="1"/>
    <col min="15" max="15" width="22" customWidth="1"/>
  </cols>
  <sheetData>
    <row r="1" spans="1:10" ht="9.75" customHeight="1"/>
    <row r="2" spans="1:10" ht="36" customHeight="1">
      <c r="A2" s="28" t="s">
        <v>46</v>
      </c>
    </row>
    <row r="3" spans="1:10" ht="21.75" customHeight="1">
      <c r="A3" s="29" t="s">
        <v>47</v>
      </c>
    </row>
    <row r="4" spans="1:10" ht="18" customHeight="1"/>
    <row r="5" spans="1:10" ht="31.5" customHeight="1">
      <c r="A5" s="30" t="s">
        <v>48</v>
      </c>
      <c r="B5" s="32"/>
      <c r="D5" s="30" t="s">
        <v>49</v>
      </c>
      <c r="E5" s="33" t="s">
        <v>9</v>
      </c>
      <c r="G5" s="30" t="s">
        <v>50</v>
      </c>
      <c r="H5" s="33" t="s">
        <v>9</v>
      </c>
    </row>
    <row r="6" spans="1:10" ht="15" customHeight="1">
      <c r="D6" s="34" t="s">
        <v>51</v>
      </c>
      <c r="E6" s="36">
        <f>IF(E5="Diamond",Settings!D10,IF(E5="Platinum",Settings!C10,Settings!B10))</f>
        <v>0.08</v>
      </c>
      <c r="G6" s="34" t="s">
        <v>52</v>
      </c>
      <c r="H6" s="37">
        <f>IF(H5="Diamond",Settings!D15,IF(H5="Platinum",Settings!C15,Settings!B15))</f>
        <v>1</v>
      </c>
    </row>
    <row r="7" spans="1:10" ht="19.5" customHeight="1"/>
    <row r="8" spans="1:10" ht="19.5" customHeight="1">
      <c r="A8" s="39" t="s">
        <v>53</v>
      </c>
      <c r="B8" s="38" t="s">
        <v>54</v>
      </c>
      <c r="C8" s="39" t="s">
        <v>55</v>
      </c>
      <c r="D8" s="39" t="s">
        <v>56</v>
      </c>
      <c r="E8" s="39" t="s">
        <v>57</v>
      </c>
      <c r="F8" s="71" t="s">
        <v>58</v>
      </c>
      <c r="G8" s="71" t="s">
        <v>59</v>
      </c>
      <c r="H8" s="71" t="s">
        <v>60</v>
      </c>
      <c r="I8" s="71" t="s">
        <v>61</v>
      </c>
      <c r="J8" s="71" t="s">
        <v>62</v>
      </c>
    </row>
    <row r="9" spans="1:10" ht="19.5" customHeight="1">
      <c r="A9" s="35">
        <v>1</v>
      </c>
      <c r="B9" s="31"/>
      <c r="C9" s="40"/>
      <c r="D9" s="41"/>
      <c r="E9" s="41"/>
      <c r="F9" s="72"/>
      <c r="G9" s="73"/>
      <c r="H9" s="78"/>
      <c r="I9" s="72"/>
      <c r="J9" s="74"/>
    </row>
    <row r="10" spans="1:10" ht="19.5" customHeight="1">
      <c r="A10" s="35">
        <v>2</v>
      </c>
      <c r="B10" s="31"/>
      <c r="C10" s="40"/>
      <c r="D10" s="41"/>
      <c r="E10" s="41"/>
      <c r="G10" s="73"/>
      <c r="I10" s="72"/>
      <c r="J10" s="74"/>
    </row>
    <row r="11" spans="1:10" ht="19.5" customHeight="1">
      <c r="A11" s="35">
        <v>3</v>
      </c>
      <c r="B11" s="31"/>
      <c r="C11" s="40"/>
      <c r="D11" s="41"/>
      <c r="E11" s="41"/>
      <c r="G11" s="73"/>
      <c r="I11" s="72"/>
      <c r="J11" s="74"/>
    </row>
    <row r="12" spans="1:10" ht="19.5" customHeight="1">
      <c r="A12" s="35">
        <v>4</v>
      </c>
      <c r="B12" s="31"/>
      <c r="C12" s="40"/>
      <c r="D12" s="41"/>
      <c r="E12" s="41"/>
      <c r="G12" s="73"/>
      <c r="I12" s="72"/>
      <c r="J12" s="74"/>
    </row>
    <row r="13" spans="1:10" ht="19.5" customHeight="1">
      <c r="A13" s="35">
        <v>5</v>
      </c>
      <c r="B13" s="31"/>
      <c r="C13" s="40"/>
      <c r="D13" s="41"/>
      <c r="E13" s="41"/>
      <c r="G13" s="73"/>
      <c r="I13" s="72"/>
      <c r="J13" s="74"/>
    </row>
    <row r="14" spans="1:10" ht="19.5" customHeight="1">
      <c r="A14" s="35">
        <v>6</v>
      </c>
      <c r="B14" s="31"/>
      <c r="C14" s="40">
        <v>7000000</v>
      </c>
      <c r="D14" s="41">
        <f t="shared" ref="D9:D40" si="0">IF(C14="","",C14*$E$6)</f>
        <v>560000</v>
      </c>
      <c r="E14" s="41">
        <f t="shared" ref="E9:E40" si="1">IF(C14="","",C14-D14)</f>
        <v>6440000</v>
      </c>
      <c r="F14">
        <f>IF(C14="","",(C14/1000*Settings!$B$16*$H$6)+MAX(0,MIN(G14+(C14/1000*Settings!$B$16*$H$6),Settings!$C$31)-MAX(G14,Settings!$B$31))*Settings!$B$32+MAX(0,MIN(G14+(C14/1000*Settings!$B$16*$H$6),Settings!$D$31)-MAX(G14,Settings!$C$31))*Settings!$C$32+MAX(0,(G14+(C14/1000*Settings!$B$16*$H$6))-MAX(G14,Settings!$D$31))*Settings!$D$32)</f>
        <v>7350</v>
      </c>
      <c r="G14" s="73">
        <f>IF(C14="","",SUM($J$9:J13))</f>
        <v>0</v>
      </c>
      <c r="H14">
        <f>IF(OR(C14="",C14=0),"",(F14-(C14/1000*Settings!$B$16*$H$6))/(C14/1000*Settings!$B$16*$H$6))</f>
        <v>0.05</v>
      </c>
      <c r="I14" s="72">
        <f>IF(C14="","",IF(AND(G14&lt;Settings!$B$31,(G14+F14)&gt;=Settings!$B$31),Settings!$B$33,0)+IF(AND(G14&lt;Settings!$C$31,(G14+F14)&gt;=Settings!$C$31),Settings!$C$33,0)+IF(AND(G14&lt;Settings!$D$31,(G14+F14)&gt;=Settings!$D$31),Settings!$D$33,0))</f>
        <v>300</v>
      </c>
      <c r="J14" s="74">
        <f t="shared" ref="J10:J58" si="2">IF(C14="","",F14+I14)</f>
        <v>7650</v>
      </c>
    </row>
    <row r="15" spans="1:10" ht="19.5" customHeight="1">
      <c r="A15" s="35">
        <v>7</v>
      </c>
      <c r="B15" s="31"/>
      <c r="C15" s="40"/>
      <c r="D15" s="41" t="str">
        <f t="shared" si="0"/>
        <v/>
      </c>
      <c r="E15" s="41" t="str">
        <f t="shared" si="1"/>
        <v/>
      </c>
      <c r="F15" t="str">
        <f>IF(C15="","",(C15/1000*Settings!$B$16*$H$6)+MAX(0,MIN(G15+(C15/1000*Settings!$B$16*$H$6),Settings!$C$31)-MAX(G15,Settings!$B$31))*Settings!$B$32+MAX(0,MIN(G15+(C15/1000*Settings!$B$16*$H$6),Settings!$D$31)-MAX(G15,Settings!$C$31))*Settings!$C$32+MAX(0,(G15+(C15/1000*Settings!$B$16*$H$6))-MAX(G15,Settings!$D$31))*Settings!$D$32)</f>
        <v/>
      </c>
      <c r="G15" s="73" t="str">
        <f>IF(C15="","",SUM($J$9:J14))</f>
        <v/>
      </c>
      <c r="H15" t="str">
        <f>IF(OR(C15="",C15=0),"",(F15-(C15/1000*Settings!$B$16*$H$6))/(C15/1000*Settings!$B$16*$H$6))</f>
        <v/>
      </c>
      <c r="I15" s="72" t="str">
        <f>IF(C15="","",IF(AND(G15&lt;Settings!$B$31,(G15+F15)&gt;=Settings!$B$31),Settings!$B$33,0)+IF(AND(G15&lt;Settings!$C$31,(G15+F15)&gt;=Settings!$C$31),Settings!$C$33,0)+IF(AND(G15&lt;Settings!$D$31,(G15+F15)&gt;=Settings!$D$31),Settings!$D$33,0))</f>
        <v/>
      </c>
      <c r="J15" s="74" t="str">
        <f t="shared" si="2"/>
        <v/>
      </c>
    </row>
    <row r="16" spans="1:10" ht="19.5" customHeight="1">
      <c r="A16" s="35">
        <v>8</v>
      </c>
      <c r="B16" s="31"/>
      <c r="C16" s="40"/>
      <c r="D16" s="41" t="str">
        <f t="shared" si="0"/>
        <v/>
      </c>
      <c r="E16" s="41" t="str">
        <f t="shared" si="1"/>
        <v/>
      </c>
      <c r="F16" t="str">
        <f>IF(C16="","",(C16/1000*Settings!$B$16*$H$6)+MAX(0,MIN(G16+(C16/1000*Settings!$B$16*$H$6),Settings!$C$31)-MAX(G16,Settings!$B$31))*Settings!$B$32+MAX(0,MIN(G16+(C16/1000*Settings!$B$16*$H$6),Settings!$D$31)-MAX(G16,Settings!$C$31))*Settings!$C$32+MAX(0,(G16+(C16/1000*Settings!$B$16*$H$6))-MAX(G16,Settings!$D$31))*Settings!$D$32)</f>
        <v/>
      </c>
      <c r="G16" s="73" t="str">
        <f>IF(C16="","",SUM($J$9:J15))</f>
        <v/>
      </c>
      <c r="H16" t="str">
        <f>IF(OR(C16="",C16=0),"",(F16-(C16/1000*Settings!$B$16*$H$6))/(C16/1000*Settings!$B$16*$H$6))</f>
        <v/>
      </c>
      <c r="I16" s="72" t="str">
        <f>IF(C16="","",IF(AND(G16&lt;Settings!$B$31,(G16+F16)&gt;=Settings!$B$31),Settings!$B$33,0)+IF(AND(G16&lt;Settings!$C$31,(G16+F16)&gt;=Settings!$C$31),Settings!$C$33,0)+IF(AND(G16&lt;Settings!$D$31,(G16+F16)&gt;=Settings!$D$31),Settings!$D$33,0))</f>
        <v/>
      </c>
      <c r="J16" s="74" t="str">
        <f t="shared" si="2"/>
        <v/>
      </c>
    </row>
    <row r="17" spans="1:10" ht="19.5" customHeight="1">
      <c r="A17" s="35">
        <v>9</v>
      </c>
      <c r="B17" s="31"/>
      <c r="C17" s="40"/>
      <c r="D17" s="41" t="str">
        <f t="shared" si="0"/>
        <v/>
      </c>
      <c r="E17" s="41" t="str">
        <f t="shared" si="1"/>
        <v/>
      </c>
      <c r="F17" t="str">
        <f>IF(C17="","",(C17/1000*Settings!$B$16*$H$6)+MAX(0,MIN(G17+(C17/1000*Settings!$B$16*$H$6),Settings!$C$31)-MAX(G17,Settings!$B$31))*Settings!$B$32+MAX(0,MIN(G17+(C17/1000*Settings!$B$16*$H$6),Settings!$D$31)-MAX(G17,Settings!$C$31))*Settings!$C$32+MAX(0,(G17+(C17/1000*Settings!$B$16*$H$6))-MAX(G17,Settings!$D$31))*Settings!$D$32)</f>
        <v/>
      </c>
      <c r="G17" s="73" t="str">
        <f>IF(C17="","",SUM($J$9:J16))</f>
        <v/>
      </c>
      <c r="H17" t="str">
        <f>IF(OR(C17="",C17=0),"",(F17-(C17/1000*Settings!$B$16*$H$6))/(C17/1000*Settings!$B$16*$H$6))</f>
        <v/>
      </c>
      <c r="I17" s="72" t="str">
        <f>IF(C17="","",IF(AND(G17&lt;Settings!$B$31,(G17+F17)&gt;=Settings!$B$31),Settings!$B$33,0)+IF(AND(G17&lt;Settings!$C$31,(G17+F17)&gt;=Settings!$C$31),Settings!$C$33,0)+IF(AND(G17&lt;Settings!$D$31,(G17+F17)&gt;=Settings!$D$31),Settings!$D$33,0))</f>
        <v/>
      </c>
      <c r="J17" s="74" t="str">
        <f t="shared" si="2"/>
        <v/>
      </c>
    </row>
    <row r="18" spans="1:10" ht="19.5" customHeight="1">
      <c r="A18" s="35">
        <v>10</v>
      </c>
      <c r="B18" s="31"/>
      <c r="C18" s="40"/>
      <c r="D18" s="41" t="str">
        <f t="shared" si="0"/>
        <v/>
      </c>
      <c r="E18" s="41" t="str">
        <f t="shared" si="1"/>
        <v/>
      </c>
      <c r="F18" t="str">
        <f>IF(C18="","",(C18/1000*Settings!$B$16*$H$6)+MAX(0,MIN(G18+(C18/1000*Settings!$B$16*$H$6),Settings!$C$31)-MAX(G18,Settings!$B$31))*Settings!$B$32+MAX(0,MIN(G18+(C18/1000*Settings!$B$16*$H$6),Settings!$D$31)-MAX(G18,Settings!$C$31))*Settings!$C$32+MAX(0,(G18+(C18/1000*Settings!$B$16*$H$6))-MAX(G18,Settings!$D$31))*Settings!$D$32)</f>
        <v/>
      </c>
      <c r="G18" s="73" t="str">
        <f>IF(C18="","",SUM($J$9:J17))</f>
        <v/>
      </c>
      <c r="H18" t="str">
        <f>IF(OR(C18="",C18=0),"",(F18-(C18/1000*Settings!$B$16*$H$6))/(C18/1000*Settings!$B$16*$H$6))</f>
        <v/>
      </c>
      <c r="I18" s="72" t="str">
        <f>IF(C18="","",IF(AND(G18&lt;Settings!$B$31,(G18+F18)&gt;=Settings!$B$31),Settings!$B$33,0)+IF(AND(G18&lt;Settings!$C$31,(G18+F18)&gt;=Settings!$C$31),Settings!$C$33,0)+IF(AND(G18&lt;Settings!$D$31,(G18+F18)&gt;=Settings!$D$31),Settings!$D$33,0))</f>
        <v/>
      </c>
      <c r="J18" s="74" t="str">
        <f t="shared" si="2"/>
        <v/>
      </c>
    </row>
    <row r="19" spans="1:10" ht="19.5" customHeight="1">
      <c r="A19" s="35">
        <v>11</v>
      </c>
      <c r="B19" s="31"/>
      <c r="C19" s="40"/>
      <c r="D19" s="41" t="str">
        <f t="shared" si="0"/>
        <v/>
      </c>
      <c r="E19" s="41" t="str">
        <f t="shared" si="1"/>
        <v/>
      </c>
      <c r="F19" t="str">
        <f>IF(C19="","",(C19/1000*Settings!$B$16*$H$6)+MAX(0,MIN(G19+(C19/1000*Settings!$B$16*$H$6),Settings!$C$31)-MAX(G19,Settings!$B$31))*Settings!$B$32+MAX(0,MIN(G19+(C19/1000*Settings!$B$16*$H$6),Settings!$D$31)-MAX(G19,Settings!$C$31))*Settings!$C$32+MAX(0,(G19+(C19/1000*Settings!$B$16*$H$6))-MAX(G19,Settings!$D$31))*Settings!$D$32)</f>
        <v/>
      </c>
      <c r="G19" s="73" t="str">
        <f>IF(C19="","",SUM($J$9:J18))</f>
        <v/>
      </c>
      <c r="H19" t="str">
        <f>IF(OR(C19="",C19=0),"",(F19-(C19/1000*Settings!$B$16*$H$6))/(C19/1000*Settings!$B$16*$H$6))</f>
        <v/>
      </c>
      <c r="I19" s="72" t="str">
        <f>IF(C19="","",IF(AND(G19&lt;Settings!$B$31,(G19+F19)&gt;=Settings!$B$31),Settings!$B$33,0)+IF(AND(G19&lt;Settings!$C$31,(G19+F19)&gt;=Settings!$C$31),Settings!$C$33,0)+IF(AND(G19&lt;Settings!$D$31,(G19+F19)&gt;=Settings!$D$31),Settings!$D$33,0))</f>
        <v/>
      </c>
      <c r="J19" s="74" t="str">
        <f t="shared" si="2"/>
        <v/>
      </c>
    </row>
    <row r="20" spans="1:10" ht="19.5" customHeight="1">
      <c r="A20" s="35">
        <v>12</v>
      </c>
      <c r="B20" s="31"/>
      <c r="C20" s="40"/>
      <c r="D20" s="41" t="str">
        <f t="shared" si="0"/>
        <v/>
      </c>
      <c r="E20" s="41" t="str">
        <f t="shared" si="1"/>
        <v/>
      </c>
      <c r="F20" t="str">
        <f>IF(C20="","",(C20/1000*Settings!$B$16*$H$6)+MAX(0,MIN(G20+(C20/1000*Settings!$B$16*$H$6),Settings!$C$31)-MAX(G20,Settings!$B$31))*Settings!$B$32+MAX(0,MIN(G20+(C20/1000*Settings!$B$16*$H$6),Settings!$D$31)-MAX(G20,Settings!$C$31))*Settings!$C$32+MAX(0,(G20+(C20/1000*Settings!$B$16*$H$6))-MAX(G20,Settings!$D$31))*Settings!$D$32)</f>
        <v/>
      </c>
      <c r="G20" s="73" t="str">
        <f>IF(C20="","",SUM($J$9:J19))</f>
        <v/>
      </c>
      <c r="H20" t="str">
        <f>IF(OR(C20="",C20=0),"",(F20-(C20/1000*Settings!$B$16*$H$6))/(C20/1000*Settings!$B$16*$H$6))</f>
        <v/>
      </c>
      <c r="I20" s="72" t="str">
        <f>IF(C20="","",IF(AND(G20&lt;Settings!$B$31,(G20+F20)&gt;=Settings!$B$31),Settings!$B$33,0)+IF(AND(G20&lt;Settings!$C$31,(G20+F20)&gt;=Settings!$C$31),Settings!$C$33,0)+IF(AND(G20&lt;Settings!$D$31,(G20+F20)&gt;=Settings!$D$31),Settings!$D$33,0))</f>
        <v/>
      </c>
      <c r="J20" s="74" t="str">
        <f t="shared" si="2"/>
        <v/>
      </c>
    </row>
    <row r="21" spans="1:10" ht="19.5" customHeight="1">
      <c r="A21" s="35">
        <v>13</v>
      </c>
      <c r="B21" s="31"/>
      <c r="C21" s="40"/>
      <c r="D21" s="41" t="str">
        <f t="shared" si="0"/>
        <v/>
      </c>
      <c r="E21" s="41" t="str">
        <f t="shared" si="1"/>
        <v/>
      </c>
      <c r="F21" t="str">
        <f>IF(C21="","",(C21/1000*Settings!$B$16*$H$6)+MAX(0,MIN(G21+(C21/1000*Settings!$B$16*$H$6),Settings!$C$31)-MAX(G21,Settings!$B$31))*Settings!$B$32+MAX(0,MIN(G21+(C21/1000*Settings!$B$16*$H$6),Settings!$D$31)-MAX(G21,Settings!$C$31))*Settings!$C$32+MAX(0,(G21+(C21/1000*Settings!$B$16*$H$6))-MAX(G21,Settings!$D$31))*Settings!$D$32)</f>
        <v/>
      </c>
      <c r="G21" s="73" t="str">
        <f>IF(C21="","",SUM($J$9:J20))</f>
        <v/>
      </c>
      <c r="H21" t="str">
        <f>IF(OR(C21="",C21=0),"",(F21-(C21/1000*Settings!$B$16*$H$6))/(C21/1000*Settings!$B$16*$H$6))</f>
        <v/>
      </c>
      <c r="I21" s="72" t="str">
        <f>IF(C21="","",IF(AND(G21&lt;Settings!$B$31,(G21+F21)&gt;=Settings!$B$31),Settings!$B$33,0)+IF(AND(G21&lt;Settings!$C$31,(G21+F21)&gt;=Settings!$C$31),Settings!$C$33,0)+IF(AND(G21&lt;Settings!$D$31,(G21+F21)&gt;=Settings!$D$31),Settings!$D$33,0))</f>
        <v/>
      </c>
      <c r="J21" s="74" t="str">
        <f t="shared" si="2"/>
        <v/>
      </c>
    </row>
    <row r="22" spans="1:10" ht="19.5" customHeight="1">
      <c r="A22" s="35">
        <v>14</v>
      </c>
      <c r="B22" s="31"/>
      <c r="C22" s="40"/>
      <c r="D22" s="41" t="str">
        <f t="shared" si="0"/>
        <v/>
      </c>
      <c r="E22" s="41" t="str">
        <f t="shared" si="1"/>
        <v/>
      </c>
      <c r="F22" t="str">
        <f>IF(C22="","",(C22/1000*Settings!$B$16*$H$6)+MAX(0,MIN(G22+(C22/1000*Settings!$B$16*$H$6),Settings!$C$31)-MAX(G22,Settings!$B$31))*Settings!$B$32+MAX(0,MIN(G22+(C22/1000*Settings!$B$16*$H$6),Settings!$D$31)-MAX(G22,Settings!$C$31))*Settings!$C$32+MAX(0,(G22+(C22/1000*Settings!$B$16*$H$6))-MAX(G22,Settings!$D$31))*Settings!$D$32)</f>
        <v/>
      </c>
      <c r="G22" s="73" t="str">
        <f>IF(C22="","",SUM($J$9:J21))</f>
        <v/>
      </c>
      <c r="H22" t="str">
        <f>IF(OR(C22="",C22=0),"",(F22-(C22/1000*Settings!$B$16*$H$6))/(C22/1000*Settings!$B$16*$H$6))</f>
        <v/>
      </c>
      <c r="I22" s="72" t="str">
        <f>IF(C22="","",IF(AND(G22&lt;Settings!$B$31,(G22+F22)&gt;=Settings!$B$31),Settings!$B$33,0)+IF(AND(G22&lt;Settings!$C$31,(G22+F22)&gt;=Settings!$C$31),Settings!$C$33,0)+IF(AND(G22&lt;Settings!$D$31,(G22+F22)&gt;=Settings!$D$31),Settings!$D$33,0))</f>
        <v/>
      </c>
      <c r="J22" s="74" t="str">
        <f t="shared" si="2"/>
        <v/>
      </c>
    </row>
    <row r="23" spans="1:10" ht="19.5" customHeight="1">
      <c r="A23" s="35">
        <v>15</v>
      </c>
      <c r="B23" s="31"/>
      <c r="C23" s="40"/>
      <c r="D23" s="41" t="str">
        <f t="shared" si="0"/>
        <v/>
      </c>
      <c r="E23" s="41" t="str">
        <f t="shared" si="1"/>
        <v/>
      </c>
      <c r="F23" t="str">
        <f>IF(C23="","",(C23/1000*Settings!$B$16*$H$6)+MAX(0,MIN(G23+(C23/1000*Settings!$B$16*$H$6),Settings!$C$31)-MAX(G23,Settings!$B$31))*Settings!$B$32+MAX(0,MIN(G23+(C23/1000*Settings!$B$16*$H$6),Settings!$D$31)-MAX(G23,Settings!$C$31))*Settings!$C$32+MAX(0,(G23+(C23/1000*Settings!$B$16*$H$6))-MAX(G23,Settings!$D$31))*Settings!$D$32)</f>
        <v/>
      </c>
      <c r="G23" s="73" t="str">
        <f>IF(C23="","",SUM($J$9:J22))</f>
        <v/>
      </c>
      <c r="H23" t="str">
        <f>IF(OR(C23="",C23=0),"",(F23-(C23/1000*Settings!$B$16*$H$6))/(C23/1000*Settings!$B$16*$H$6))</f>
        <v/>
      </c>
      <c r="I23" s="72" t="str">
        <f>IF(C23="","",IF(AND(G23&lt;Settings!$B$31,(G23+F23)&gt;=Settings!$B$31),Settings!$B$33,0)+IF(AND(G23&lt;Settings!$C$31,(G23+F23)&gt;=Settings!$C$31),Settings!$C$33,0)+IF(AND(G23&lt;Settings!$D$31,(G23+F23)&gt;=Settings!$D$31),Settings!$D$33,0))</f>
        <v/>
      </c>
      <c r="J23" s="74" t="str">
        <f t="shared" si="2"/>
        <v/>
      </c>
    </row>
    <row r="24" spans="1:10" ht="19.5" customHeight="1">
      <c r="A24" s="35">
        <v>16</v>
      </c>
      <c r="B24" s="31"/>
      <c r="C24" s="40"/>
      <c r="D24" s="41" t="str">
        <f t="shared" si="0"/>
        <v/>
      </c>
      <c r="E24" s="41" t="str">
        <f t="shared" si="1"/>
        <v/>
      </c>
      <c r="F24" t="str">
        <f>IF(C24="","",(C24/1000*Settings!$B$16*$H$6)+MAX(0,MIN(G24+(C24/1000*Settings!$B$16*$H$6),Settings!$C$31)-MAX(G24,Settings!$B$31))*Settings!$B$32+MAX(0,MIN(G24+(C24/1000*Settings!$B$16*$H$6),Settings!$D$31)-MAX(G24,Settings!$C$31))*Settings!$C$32+MAX(0,(G24+(C24/1000*Settings!$B$16*$H$6))-MAX(G24,Settings!$D$31))*Settings!$D$32)</f>
        <v/>
      </c>
      <c r="G24" s="73" t="str">
        <f>IF(C24="","",SUM($J$9:J23))</f>
        <v/>
      </c>
      <c r="H24" t="str">
        <f>IF(OR(C24="",C24=0),"",(F24-(C24/1000*Settings!$B$16*$H$6))/(C24/1000*Settings!$B$16*$H$6))</f>
        <v/>
      </c>
      <c r="I24" s="72" t="str">
        <f>IF(C24="","",IF(AND(G24&lt;Settings!$B$31,(G24+F24)&gt;=Settings!$B$31),Settings!$B$33,0)+IF(AND(G24&lt;Settings!$C$31,(G24+F24)&gt;=Settings!$C$31),Settings!$C$33,0)+IF(AND(G24&lt;Settings!$D$31,(G24+F24)&gt;=Settings!$D$31),Settings!$D$33,0))</f>
        <v/>
      </c>
      <c r="J24" s="74" t="str">
        <f t="shared" si="2"/>
        <v/>
      </c>
    </row>
    <row r="25" spans="1:10" ht="19.5" customHeight="1">
      <c r="A25" s="35">
        <v>17</v>
      </c>
      <c r="B25" s="31"/>
      <c r="C25" s="40"/>
      <c r="D25" s="41" t="str">
        <f t="shared" si="0"/>
        <v/>
      </c>
      <c r="E25" s="41" t="str">
        <f t="shared" si="1"/>
        <v/>
      </c>
      <c r="F25" t="str">
        <f>IF(C25="","",(C25/1000*Settings!$B$16*$H$6)+MAX(0,MIN(G25+(C25/1000*Settings!$B$16*$H$6),Settings!$C$31)-MAX(G25,Settings!$B$31))*Settings!$B$32+MAX(0,MIN(G25+(C25/1000*Settings!$B$16*$H$6),Settings!$D$31)-MAX(G25,Settings!$C$31))*Settings!$C$32+MAX(0,(G25+(C25/1000*Settings!$B$16*$H$6))-MAX(G25,Settings!$D$31))*Settings!$D$32)</f>
        <v/>
      </c>
      <c r="G25" s="73" t="str">
        <f>IF(C25="","",SUM($J$9:J24))</f>
        <v/>
      </c>
      <c r="H25" t="str">
        <f>IF(OR(C25="",C25=0),"",(F25-(C25/1000*Settings!$B$16*$H$6))/(C25/1000*Settings!$B$16*$H$6))</f>
        <v/>
      </c>
      <c r="I25" s="72" t="str">
        <f>IF(C25="","",IF(AND(G25&lt;Settings!$B$31,(G25+F25)&gt;=Settings!$B$31),Settings!$B$33,0)+IF(AND(G25&lt;Settings!$C$31,(G25+F25)&gt;=Settings!$C$31),Settings!$C$33,0)+IF(AND(G25&lt;Settings!$D$31,(G25+F25)&gt;=Settings!$D$31),Settings!$D$33,0))</f>
        <v/>
      </c>
      <c r="J25" s="74" t="str">
        <f t="shared" si="2"/>
        <v/>
      </c>
    </row>
    <row r="26" spans="1:10" ht="19.5" customHeight="1">
      <c r="A26" s="35">
        <v>18</v>
      </c>
      <c r="B26" s="31"/>
      <c r="C26" s="40"/>
      <c r="D26" s="41" t="str">
        <f t="shared" si="0"/>
        <v/>
      </c>
      <c r="E26" s="41" t="str">
        <f t="shared" si="1"/>
        <v/>
      </c>
      <c r="F26" t="str">
        <f>IF(C26="","",(C26/1000*Settings!$B$16*$H$6)+MAX(0,MIN(G26+(C26/1000*Settings!$B$16*$H$6),Settings!$C$31)-MAX(G26,Settings!$B$31))*Settings!$B$32+MAX(0,MIN(G26+(C26/1000*Settings!$B$16*$H$6),Settings!$D$31)-MAX(G26,Settings!$C$31))*Settings!$C$32+MAX(0,(G26+(C26/1000*Settings!$B$16*$H$6))-MAX(G26,Settings!$D$31))*Settings!$D$32)</f>
        <v/>
      </c>
      <c r="G26" s="73" t="str">
        <f>IF(C26="","",SUM($J$9:J25))</f>
        <v/>
      </c>
      <c r="H26" t="str">
        <f>IF(OR(C26="",C26=0),"",(F26-(C26/1000*Settings!$B$16*$H$6))/(C26/1000*Settings!$B$16*$H$6))</f>
        <v/>
      </c>
      <c r="I26" s="72" t="str">
        <f>IF(C26="","",IF(AND(G26&lt;Settings!$B$31,(G26+F26)&gt;=Settings!$B$31),Settings!$B$33,0)+IF(AND(G26&lt;Settings!$C$31,(G26+F26)&gt;=Settings!$C$31),Settings!$C$33,0)+IF(AND(G26&lt;Settings!$D$31,(G26+F26)&gt;=Settings!$D$31),Settings!$D$33,0))</f>
        <v/>
      </c>
      <c r="J26" s="74" t="str">
        <f t="shared" si="2"/>
        <v/>
      </c>
    </row>
    <row r="27" spans="1:10" ht="19.5" customHeight="1">
      <c r="A27" s="35">
        <v>19</v>
      </c>
      <c r="B27" s="31"/>
      <c r="C27" s="40"/>
      <c r="D27" s="41" t="str">
        <f t="shared" si="0"/>
        <v/>
      </c>
      <c r="E27" s="41" t="str">
        <f t="shared" si="1"/>
        <v/>
      </c>
      <c r="F27" t="str">
        <f>IF(C27="","",(C27/1000*Settings!$B$16*$H$6)+MAX(0,MIN(G27+(C27/1000*Settings!$B$16*$H$6),Settings!$C$31)-MAX(G27,Settings!$B$31))*Settings!$B$32+MAX(0,MIN(G27+(C27/1000*Settings!$B$16*$H$6),Settings!$D$31)-MAX(G27,Settings!$C$31))*Settings!$C$32+MAX(0,(G27+(C27/1000*Settings!$B$16*$H$6))-MAX(G27,Settings!$D$31))*Settings!$D$32)</f>
        <v/>
      </c>
      <c r="G27" s="73" t="str">
        <f>IF(C27="","",SUM($J$9:J26))</f>
        <v/>
      </c>
      <c r="H27" t="str">
        <f>IF(OR(C27="",C27=0),"",(F27-(C27/1000*Settings!$B$16*$H$6))/(C27/1000*Settings!$B$16*$H$6))</f>
        <v/>
      </c>
      <c r="I27" s="72" t="str">
        <f>IF(C27="","",IF(AND(G27&lt;Settings!$B$31,(G27+F27)&gt;=Settings!$B$31),Settings!$B$33,0)+IF(AND(G27&lt;Settings!$C$31,(G27+F27)&gt;=Settings!$C$31),Settings!$C$33,0)+IF(AND(G27&lt;Settings!$D$31,(G27+F27)&gt;=Settings!$D$31),Settings!$D$33,0))</f>
        <v/>
      </c>
      <c r="J27" s="74" t="str">
        <f t="shared" si="2"/>
        <v/>
      </c>
    </row>
    <row r="28" spans="1:10" ht="19.5" customHeight="1">
      <c r="A28" s="35">
        <v>20</v>
      </c>
      <c r="B28" s="31"/>
      <c r="C28" s="40"/>
      <c r="D28" s="41" t="str">
        <f t="shared" si="0"/>
        <v/>
      </c>
      <c r="E28" s="41" t="str">
        <f t="shared" si="1"/>
        <v/>
      </c>
      <c r="F28" t="str">
        <f>IF(C28="","",(C28/1000*Settings!$B$16*$H$6)+MAX(0,MIN(G28+(C28/1000*Settings!$B$16*$H$6),Settings!$C$31)-MAX(G28,Settings!$B$31))*Settings!$B$32+MAX(0,MIN(G28+(C28/1000*Settings!$B$16*$H$6),Settings!$D$31)-MAX(G28,Settings!$C$31))*Settings!$C$32+MAX(0,(G28+(C28/1000*Settings!$B$16*$H$6))-MAX(G28,Settings!$D$31))*Settings!$D$32)</f>
        <v/>
      </c>
      <c r="G28" s="73" t="str">
        <f>IF(C28="","",SUM($J$9:J27))</f>
        <v/>
      </c>
      <c r="H28" t="str">
        <f>IF(OR(C28="",C28=0),"",(F28-(C28/1000*Settings!$B$16*$H$6))/(C28/1000*Settings!$B$16*$H$6))</f>
        <v/>
      </c>
      <c r="I28" s="72" t="str">
        <f>IF(C28="","",IF(AND(G28&lt;Settings!$B$31,(G28+F28)&gt;=Settings!$B$31),Settings!$B$33,0)+IF(AND(G28&lt;Settings!$C$31,(G28+F28)&gt;=Settings!$C$31),Settings!$C$33,0)+IF(AND(G28&lt;Settings!$D$31,(G28+F28)&gt;=Settings!$D$31),Settings!$D$33,0))</f>
        <v/>
      </c>
      <c r="J28" s="74" t="str">
        <f t="shared" si="2"/>
        <v/>
      </c>
    </row>
    <row r="29" spans="1:10" ht="19.5" customHeight="1">
      <c r="A29" s="35">
        <v>21</v>
      </c>
      <c r="B29" s="31"/>
      <c r="C29" s="40"/>
      <c r="D29" s="41" t="str">
        <f t="shared" si="0"/>
        <v/>
      </c>
      <c r="E29" s="41" t="str">
        <f t="shared" si="1"/>
        <v/>
      </c>
      <c r="F29" t="str">
        <f>IF(C29="","",(C29/1000*Settings!$B$16*$H$6)+MAX(0,MIN(G29+(C29/1000*Settings!$B$16*$H$6),Settings!$C$31)-MAX(G29,Settings!$B$31))*Settings!$B$32+MAX(0,MIN(G29+(C29/1000*Settings!$B$16*$H$6),Settings!$D$31)-MAX(G29,Settings!$C$31))*Settings!$C$32+MAX(0,(G29+(C29/1000*Settings!$B$16*$H$6))-MAX(G29,Settings!$D$31))*Settings!$D$32)</f>
        <v/>
      </c>
      <c r="G29" s="73" t="str">
        <f>IF(C29="","",SUM($J$9:J28))</f>
        <v/>
      </c>
      <c r="H29" t="str">
        <f>IF(OR(C29="",C29=0),"",(F29-(C29/1000*Settings!$B$16*$H$6))/(C29/1000*Settings!$B$16*$H$6))</f>
        <v/>
      </c>
      <c r="I29" s="72" t="str">
        <f>IF(C29="","",IF(AND(G29&lt;Settings!$B$31,(G29+F29)&gt;=Settings!$B$31),Settings!$B$33,0)+IF(AND(G29&lt;Settings!$C$31,(G29+F29)&gt;=Settings!$C$31),Settings!$C$33,0)+IF(AND(G29&lt;Settings!$D$31,(G29+F29)&gt;=Settings!$D$31),Settings!$D$33,0))</f>
        <v/>
      </c>
      <c r="J29" s="74" t="str">
        <f t="shared" si="2"/>
        <v/>
      </c>
    </row>
    <row r="30" spans="1:10" ht="19.5" customHeight="1">
      <c r="A30" s="35">
        <v>22</v>
      </c>
      <c r="B30" s="31"/>
      <c r="C30" s="40"/>
      <c r="D30" s="41" t="str">
        <f t="shared" si="0"/>
        <v/>
      </c>
      <c r="E30" s="41" t="str">
        <f t="shared" si="1"/>
        <v/>
      </c>
      <c r="F30" t="str">
        <f>IF(C30="","",(C30/1000*Settings!$B$16*$H$6)+MAX(0,MIN(G30+(C30/1000*Settings!$B$16*$H$6),Settings!$C$31)-MAX(G30,Settings!$B$31))*Settings!$B$32+MAX(0,MIN(G30+(C30/1000*Settings!$B$16*$H$6),Settings!$D$31)-MAX(G30,Settings!$C$31))*Settings!$C$32+MAX(0,(G30+(C30/1000*Settings!$B$16*$H$6))-MAX(G30,Settings!$D$31))*Settings!$D$32)</f>
        <v/>
      </c>
      <c r="G30" s="73" t="str">
        <f>IF(C30="","",SUM($J$9:J29))</f>
        <v/>
      </c>
      <c r="H30" t="str">
        <f>IF(OR(C30="",C30=0),"",(F30-(C30/1000*Settings!$B$16*$H$6))/(C30/1000*Settings!$B$16*$H$6))</f>
        <v/>
      </c>
      <c r="I30" s="72" t="str">
        <f>IF(C30="","",IF(AND(G30&lt;Settings!$B$31,(G30+F30)&gt;=Settings!$B$31),Settings!$B$33,0)+IF(AND(G30&lt;Settings!$C$31,(G30+F30)&gt;=Settings!$C$31),Settings!$C$33,0)+IF(AND(G30&lt;Settings!$D$31,(G30+F30)&gt;=Settings!$D$31),Settings!$D$33,0))</f>
        <v/>
      </c>
      <c r="J30" s="74" t="str">
        <f t="shared" si="2"/>
        <v/>
      </c>
    </row>
    <row r="31" spans="1:10" ht="19.5" customHeight="1">
      <c r="A31" s="35">
        <v>23</v>
      </c>
      <c r="B31" s="31"/>
      <c r="C31" s="40"/>
      <c r="D31" s="41" t="str">
        <f t="shared" si="0"/>
        <v/>
      </c>
      <c r="E31" s="41" t="str">
        <f t="shared" si="1"/>
        <v/>
      </c>
      <c r="F31" t="str">
        <f>IF(C31="","",(C31/1000*Settings!$B$16*$H$6)+MAX(0,MIN(G31+(C31/1000*Settings!$B$16*$H$6),Settings!$C$31)-MAX(G31,Settings!$B$31))*Settings!$B$32+MAX(0,MIN(G31+(C31/1000*Settings!$B$16*$H$6),Settings!$D$31)-MAX(G31,Settings!$C$31))*Settings!$C$32+MAX(0,(G31+(C31/1000*Settings!$B$16*$H$6))-MAX(G31,Settings!$D$31))*Settings!$D$32)</f>
        <v/>
      </c>
      <c r="G31" s="73" t="str">
        <f>IF(C31="","",SUM($J$9:J30))</f>
        <v/>
      </c>
      <c r="H31" t="str">
        <f>IF(OR(C31="",C31=0),"",(F31-(C31/1000*Settings!$B$16*$H$6))/(C31/1000*Settings!$B$16*$H$6))</f>
        <v/>
      </c>
      <c r="I31" s="72" t="str">
        <f>IF(C31="","",IF(AND(G31&lt;Settings!$B$31,(G31+F31)&gt;=Settings!$B$31),Settings!$B$33,0)+IF(AND(G31&lt;Settings!$C$31,(G31+F31)&gt;=Settings!$C$31),Settings!$C$33,0)+IF(AND(G31&lt;Settings!$D$31,(G31+F31)&gt;=Settings!$D$31),Settings!$D$33,0))</f>
        <v/>
      </c>
      <c r="J31" s="74" t="str">
        <f t="shared" si="2"/>
        <v/>
      </c>
    </row>
    <row r="32" spans="1:10" ht="19.5" customHeight="1">
      <c r="A32" s="35">
        <v>24</v>
      </c>
      <c r="B32" s="31"/>
      <c r="C32" s="40"/>
      <c r="D32" s="41" t="str">
        <f t="shared" si="0"/>
        <v/>
      </c>
      <c r="E32" s="41" t="str">
        <f t="shared" si="1"/>
        <v/>
      </c>
      <c r="F32" t="str">
        <f>IF(C32="","",(C32/1000*Settings!$B$16*$H$6)+MAX(0,MIN(G32+(C32/1000*Settings!$B$16*$H$6),Settings!$C$31)-MAX(G32,Settings!$B$31))*Settings!$B$32+MAX(0,MIN(G32+(C32/1000*Settings!$B$16*$H$6),Settings!$D$31)-MAX(G32,Settings!$C$31))*Settings!$C$32+MAX(0,(G32+(C32/1000*Settings!$B$16*$H$6))-MAX(G32,Settings!$D$31))*Settings!$D$32)</f>
        <v/>
      </c>
      <c r="G32" s="73" t="str">
        <f>IF(C32="","",SUM($J$9:J31))</f>
        <v/>
      </c>
      <c r="H32" t="str">
        <f>IF(OR(C32="",C32=0),"",(F32-(C32/1000*Settings!$B$16*$H$6))/(C32/1000*Settings!$B$16*$H$6))</f>
        <v/>
      </c>
      <c r="I32" s="72" t="str">
        <f>IF(C32="","",IF(AND(G32&lt;Settings!$B$31,(G32+F32)&gt;=Settings!$B$31),Settings!$B$33,0)+IF(AND(G32&lt;Settings!$C$31,(G32+F32)&gt;=Settings!$C$31),Settings!$C$33,0)+IF(AND(G32&lt;Settings!$D$31,(G32+F32)&gt;=Settings!$D$31),Settings!$D$33,0))</f>
        <v/>
      </c>
      <c r="J32" s="74" t="str">
        <f t="shared" si="2"/>
        <v/>
      </c>
    </row>
    <row r="33" spans="1:10" ht="19.5" customHeight="1">
      <c r="A33" s="35">
        <v>25</v>
      </c>
      <c r="B33" s="31"/>
      <c r="C33" s="40"/>
      <c r="D33" s="41" t="str">
        <f t="shared" si="0"/>
        <v/>
      </c>
      <c r="E33" s="41" t="str">
        <f t="shared" si="1"/>
        <v/>
      </c>
      <c r="F33" t="str">
        <f>IF(C33="","",(C33/1000*Settings!$B$16*$H$6)+MAX(0,MIN(G33+(C33/1000*Settings!$B$16*$H$6),Settings!$C$31)-MAX(G33,Settings!$B$31))*Settings!$B$32+MAX(0,MIN(G33+(C33/1000*Settings!$B$16*$H$6),Settings!$D$31)-MAX(G33,Settings!$C$31))*Settings!$C$32+MAX(0,(G33+(C33/1000*Settings!$B$16*$H$6))-MAX(G33,Settings!$D$31))*Settings!$D$32)</f>
        <v/>
      </c>
      <c r="G33" s="73" t="str">
        <f>IF(C33="","",SUM($J$9:J32))</f>
        <v/>
      </c>
      <c r="H33" t="str">
        <f>IF(OR(C33="",C33=0),"",(F33-(C33/1000*Settings!$B$16*$H$6))/(C33/1000*Settings!$B$16*$H$6))</f>
        <v/>
      </c>
      <c r="I33" s="72" t="str">
        <f>IF(C33="","",IF(AND(G33&lt;Settings!$B$31,(G33+F33)&gt;=Settings!$B$31),Settings!$B$33,0)+IF(AND(G33&lt;Settings!$C$31,(G33+F33)&gt;=Settings!$C$31),Settings!$C$33,0)+IF(AND(G33&lt;Settings!$D$31,(G33+F33)&gt;=Settings!$D$31),Settings!$D$33,0))</f>
        <v/>
      </c>
      <c r="J33" s="74" t="str">
        <f t="shared" si="2"/>
        <v/>
      </c>
    </row>
    <row r="34" spans="1:10" ht="19.5" customHeight="1">
      <c r="A34" s="35">
        <v>26</v>
      </c>
      <c r="B34" s="31"/>
      <c r="C34" s="40"/>
      <c r="D34" s="41" t="str">
        <f t="shared" si="0"/>
        <v/>
      </c>
      <c r="E34" s="41" t="str">
        <f t="shared" si="1"/>
        <v/>
      </c>
      <c r="F34" t="str">
        <f>IF(C34="","",(C34/1000*Settings!$B$16*$H$6)+MAX(0,MIN(G34+(C34/1000*Settings!$B$16*$H$6),Settings!$C$31)-MAX(G34,Settings!$B$31))*Settings!$B$32+MAX(0,MIN(G34+(C34/1000*Settings!$B$16*$H$6),Settings!$D$31)-MAX(G34,Settings!$C$31))*Settings!$C$32+MAX(0,(G34+(C34/1000*Settings!$B$16*$H$6))-MAX(G34,Settings!$D$31))*Settings!$D$32)</f>
        <v/>
      </c>
      <c r="G34" s="73" t="str">
        <f>IF(C34="","",SUM($J$9:J33))</f>
        <v/>
      </c>
      <c r="H34" t="str">
        <f>IF(OR(C34="",C34=0),"",(F34-(C34/1000*Settings!$B$16*$H$6))/(C34/1000*Settings!$B$16*$H$6))</f>
        <v/>
      </c>
      <c r="I34" s="72" t="str">
        <f>IF(C34="","",IF(AND(G34&lt;Settings!$B$31,(G34+F34)&gt;=Settings!$B$31),Settings!$B$33,0)+IF(AND(G34&lt;Settings!$C$31,(G34+F34)&gt;=Settings!$C$31),Settings!$C$33,0)+IF(AND(G34&lt;Settings!$D$31,(G34+F34)&gt;=Settings!$D$31),Settings!$D$33,0))</f>
        <v/>
      </c>
      <c r="J34" s="74" t="str">
        <f t="shared" si="2"/>
        <v/>
      </c>
    </row>
    <row r="35" spans="1:10" ht="19.5" customHeight="1">
      <c r="A35" s="35">
        <v>27</v>
      </c>
      <c r="B35" s="31"/>
      <c r="C35" s="40"/>
      <c r="D35" s="41" t="str">
        <f t="shared" si="0"/>
        <v/>
      </c>
      <c r="E35" s="41" t="str">
        <f t="shared" si="1"/>
        <v/>
      </c>
      <c r="F35" t="str">
        <f>IF(C35="","",(C35/1000*Settings!$B$16*$H$6)+MAX(0,MIN(G35+(C35/1000*Settings!$B$16*$H$6),Settings!$C$31)-MAX(G35,Settings!$B$31))*Settings!$B$32+MAX(0,MIN(G35+(C35/1000*Settings!$B$16*$H$6),Settings!$D$31)-MAX(G35,Settings!$C$31))*Settings!$C$32+MAX(0,(G35+(C35/1000*Settings!$B$16*$H$6))-MAX(G35,Settings!$D$31))*Settings!$D$32)</f>
        <v/>
      </c>
      <c r="G35" s="73" t="str">
        <f>IF(C35="","",SUM($J$9:J34))</f>
        <v/>
      </c>
      <c r="H35" t="str">
        <f>IF(OR(C35="",C35=0),"",(F35-(C35/1000*Settings!$B$16*$H$6))/(C35/1000*Settings!$B$16*$H$6))</f>
        <v/>
      </c>
      <c r="I35" s="72" t="str">
        <f>IF(C35="","",IF(AND(G35&lt;Settings!$B$31,(G35+F35)&gt;=Settings!$B$31),Settings!$B$33,0)+IF(AND(G35&lt;Settings!$C$31,(G35+F35)&gt;=Settings!$C$31),Settings!$C$33,0)+IF(AND(G35&lt;Settings!$D$31,(G35+F35)&gt;=Settings!$D$31),Settings!$D$33,0))</f>
        <v/>
      </c>
      <c r="J35" s="74" t="str">
        <f t="shared" si="2"/>
        <v/>
      </c>
    </row>
    <row r="36" spans="1:10" ht="19.5" customHeight="1">
      <c r="A36" s="35">
        <v>28</v>
      </c>
      <c r="B36" s="31"/>
      <c r="C36" s="40"/>
      <c r="D36" s="41" t="str">
        <f t="shared" si="0"/>
        <v/>
      </c>
      <c r="E36" s="41" t="str">
        <f t="shared" si="1"/>
        <v/>
      </c>
      <c r="F36" t="str">
        <f>IF(C36="","",(C36/1000*Settings!$B$16*$H$6)+MAX(0,MIN(G36+(C36/1000*Settings!$B$16*$H$6),Settings!$C$31)-MAX(G36,Settings!$B$31))*Settings!$B$32+MAX(0,MIN(G36+(C36/1000*Settings!$B$16*$H$6),Settings!$D$31)-MAX(G36,Settings!$C$31))*Settings!$C$32+MAX(0,(G36+(C36/1000*Settings!$B$16*$H$6))-MAX(G36,Settings!$D$31))*Settings!$D$32)</f>
        <v/>
      </c>
      <c r="G36" s="73" t="str">
        <f>IF(C36="","",SUM($J$9:J35))</f>
        <v/>
      </c>
      <c r="H36" t="str">
        <f>IF(OR(C36="",C36=0),"",(F36-(C36/1000*Settings!$B$16*$H$6))/(C36/1000*Settings!$B$16*$H$6))</f>
        <v/>
      </c>
      <c r="I36" s="72" t="str">
        <f>IF(C36="","",IF(AND(G36&lt;Settings!$B$31,(G36+F36)&gt;=Settings!$B$31),Settings!$B$33,0)+IF(AND(G36&lt;Settings!$C$31,(G36+F36)&gt;=Settings!$C$31),Settings!$C$33,0)+IF(AND(G36&lt;Settings!$D$31,(G36+F36)&gt;=Settings!$D$31),Settings!$D$33,0))</f>
        <v/>
      </c>
      <c r="J36" s="74" t="str">
        <f t="shared" si="2"/>
        <v/>
      </c>
    </row>
    <row r="37" spans="1:10" ht="19.5" customHeight="1">
      <c r="A37" s="35">
        <v>29</v>
      </c>
      <c r="B37" s="31"/>
      <c r="C37" s="40"/>
      <c r="D37" s="41" t="str">
        <f t="shared" si="0"/>
        <v/>
      </c>
      <c r="E37" s="41" t="str">
        <f t="shared" si="1"/>
        <v/>
      </c>
      <c r="F37" t="str">
        <f>IF(C37="","",(C37/1000*Settings!$B$16*$H$6)+MAX(0,MIN(G37+(C37/1000*Settings!$B$16*$H$6),Settings!$C$31)-MAX(G37,Settings!$B$31))*Settings!$B$32+MAX(0,MIN(G37+(C37/1000*Settings!$B$16*$H$6),Settings!$D$31)-MAX(G37,Settings!$C$31))*Settings!$C$32+MAX(0,(G37+(C37/1000*Settings!$B$16*$H$6))-MAX(G37,Settings!$D$31))*Settings!$D$32)</f>
        <v/>
      </c>
      <c r="G37" s="73" t="str">
        <f>IF(C37="","",SUM($J$9:J36))</f>
        <v/>
      </c>
      <c r="H37" t="str">
        <f>IF(OR(C37="",C37=0),"",(F37-(C37/1000*Settings!$B$16*$H$6))/(C37/1000*Settings!$B$16*$H$6))</f>
        <v/>
      </c>
      <c r="I37" s="72" t="str">
        <f>IF(C37="","",IF(AND(G37&lt;Settings!$B$31,(G37+F37)&gt;=Settings!$B$31),Settings!$B$33,0)+IF(AND(G37&lt;Settings!$C$31,(G37+F37)&gt;=Settings!$C$31),Settings!$C$33,0)+IF(AND(G37&lt;Settings!$D$31,(G37+F37)&gt;=Settings!$D$31),Settings!$D$33,0))</f>
        <v/>
      </c>
      <c r="J37" s="74" t="str">
        <f t="shared" si="2"/>
        <v/>
      </c>
    </row>
    <row r="38" spans="1:10" ht="19.5" customHeight="1">
      <c r="A38" s="35">
        <v>30</v>
      </c>
      <c r="B38" s="31"/>
      <c r="C38" s="40"/>
      <c r="D38" s="41" t="str">
        <f t="shared" si="0"/>
        <v/>
      </c>
      <c r="E38" s="41" t="str">
        <f t="shared" si="1"/>
        <v/>
      </c>
      <c r="F38" t="str">
        <f>IF(C38="","",(C38/1000*Settings!$B$16*$H$6)+MAX(0,MIN(G38+(C38/1000*Settings!$B$16*$H$6),Settings!$C$31)-MAX(G38,Settings!$B$31))*Settings!$B$32+MAX(0,MIN(G38+(C38/1000*Settings!$B$16*$H$6),Settings!$D$31)-MAX(G38,Settings!$C$31))*Settings!$C$32+MAX(0,(G38+(C38/1000*Settings!$B$16*$H$6))-MAX(G38,Settings!$D$31))*Settings!$D$32)</f>
        <v/>
      </c>
      <c r="G38" s="73" t="str">
        <f>IF(C38="","",SUM($J$9:J37))</f>
        <v/>
      </c>
      <c r="H38" t="str">
        <f>IF(OR(C38="",C38=0),"",(F38-(C38/1000*Settings!$B$16*$H$6))/(C38/1000*Settings!$B$16*$H$6))</f>
        <v/>
      </c>
      <c r="I38" s="72" t="str">
        <f>IF(C38="","",IF(AND(G38&lt;Settings!$B$31,(G38+F38)&gt;=Settings!$B$31),Settings!$B$33,0)+IF(AND(G38&lt;Settings!$C$31,(G38+F38)&gt;=Settings!$C$31),Settings!$C$33,0)+IF(AND(G38&lt;Settings!$D$31,(G38+F38)&gt;=Settings!$D$31),Settings!$D$33,0))</f>
        <v/>
      </c>
      <c r="J38" s="74" t="str">
        <f t="shared" si="2"/>
        <v/>
      </c>
    </row>
    <row r="39" spans="1:10" ht="19.5" customHeight="1">
      <c r="A39" s="35">
        <v>31</v>
      </c>
      <c r="B39" s="31"/>
      <c r="C39" s="40"/>
      <c r="D39" s="41" t="str">
        <f t="shared" si="0"/>
        <v/>
      </c>
      <c r="E39" s="41" t="str">
        <f t="shared" si="1"/>
        <v/>
      </c>
      <c r="F39" t="str">
        <f>IF(C39="","",(C39/1000*Settings!$B$16*$H$6)+MAX(0,MIN(G39+(C39/1000*Settings!$B$16*$H$6),Settings!$C$31)-MAX(G39,Settings!$B$31))*Settings!$B$32+MAX(0,MIN(G39+(C39/1000*Settings!$B$16*$H$6),Settings!$D$31)-MAX(G39,Settings!$C$31))*Settings!$C$32+MAX(0,(G39+(C39/1000*Settings!$B$16*$H$6))-MAX(G39,Settings!$D$31))*Settings!$D$32)</f>
        <v/>
      </c>
      <c r="G39" s="73" t="str">
        <f>IF(C39="","",SUM($J$9:J38))</f>
        <v/>
      </c>
      <c r="H39" t="str">
        <f>IF(OR(C39="",C39=0),"",(F39-(C39/1000*Settings!$B$16*$H$6))/(C39/1000*Settings!$B$16*$H$6))</f>
        <v/>
      </c>
      <c r="I39" s="72" t="str">
        <f>IF(C39="","",IF(AND(G39&lt;Settings!$B$31,(G39+F39)&gt;=Settings!$B$31),Settings!$B$33,0)+IF(AND(G39&lt;Settings!$C$31,(G39+F39)&gt;=Settings!$C$31),Settings!$C$33,0)+IF(AND(G39&lt;Settings!$D$31,(G39+F39)&gt;=Settings!$D$31),Settings!$D$33,0))</f>
        <v/>
      </c>
      <c r="J39" s="74" t="str">
        <f t="shared" si="2"/>
        <v/>
      </c>
    </row>
    <row r="40" spans="1:10" ht="19.5" customHeight="1">
      <c r="A40" s="35">
        <v>32</v>
      </c>
      <c r="B40" s="31"/>
      <c r="C40" s="40"/>
      <c r="D40" s="41" t="str">
        <f t="shared" si="0"/>
        <v/>
      </c>
      <c r="E40" s="41" t="str">
        <f t="shared" si="1"/>
        <v/>
      </c>
      <c r="F40" t="str">
        <f>IF(C40="","",(C40/1000*Settings!$B$16*$H$6)+MAX(0,MIN(G40+(C40/1000*Settings!$B$16*$H$6),Settings!$C$31)-MAX(G40,Settings!$B$31))*Settings!$B$32+MAX(0,MIN(G40+(C40/1000*Settings!$B$16*$H$6),Settings!$D$31)-MAX(G40,Settings!$C$31))*Settings!$C$32+MAX(0,(G40+(C40/1000*Settings!$B$16*$H$6))-MAX(G40,Settings!$D$31))*Settings!$D$32)</f>
        <v/>
      </c>
      <c r="G40" s="73" t="str">
        <f>IF(C40="","",SUM($J$9:J39))</f>
        <v/>
      </c>
      <c r="H40" t="str">
        <f>IF(OR(C40="",C40=0),"",(F40-(C40/1000*Settings!$B$16*$H$6))/(C40/1000*Settings!$B$16*$H$6))</f>
        <v/>
      </c>
      <c r="I40" s="72" t="str">
        <f>IF(C40="","",IF(AND(G40&lt;Settings!$B$31,(G40+F40)&gt;=Settings!$B$31),Settings!$B$33,0)+IF(AND(G40&lt;Settings!$C$31,(G40+F40)&gt;=Settings!$C$31),Settings!$C$33,0)+IF(AND(G40&lt;Settings!$D$31,(G40+F40)&gt;=Settings!$D$31),Settings!$D$33,0))</f>
        <v/>
      </c>
      <c r="J40" s="74" t="str">
        <f t="shared" si="2"/>
        <v/>
      </c>
    </row>
    <row r="41" spans="1:10" ht="19.5" customHeight="1">
      <c r="A41" s="35">
        <v>33</v>
      </c>
      <c r="B41" s="31"/>
      <c r="C41" s="40"/>
      <c r="D41" s="41" t="str">
        <f t="shared" ref="D41:D58" si="3">IF(C41="","",C41*$E$6)</f>
        <v/>
      </c>
      <c r="E41" s="41" t="str">
        <f t="shared" ref="E41:E58" si="4">IF(C41="","",C41-D41)</f>
        <v/>
      </c>
      <c r="F41" t="str">
        <f>IF(C41="","",(C41/1000*Settings!$B$16*$H$6)+MAX(0,MIN(G41+(C41/1000*Settings!$B$16*$H$6),Settings!$C$31)-MAX(G41,Settings!$B$31))*Settings!$B$32+MAX(0,MIN(G41+(C41/1000*Settings!$B$16*$H$6),Settings!$D$31)-MAX(G41,Settings!$C$31))*Settings!$C$32+MAX(0,(G41+(C41/1000*Settings!$B$16*$H$6))-MAX(G41,Settings!$D$31))*Settings!$D$32)</f>
        <v/>
      </c>
      <c r="G41" s="73" t="str">
        <f>IF(C41="","",SUM($J$9:J40))</f>
        <v/>
      </c>
      <c r="H41" t="str">
        <f>IF(OR(C41="",C41=0),"",(F41-(C41/1000*Settings!$B$16*$H$6))/(C41/1000*Settings!$B$16*$H$6))</f>
        <v/>
      </c>
      <c r="I41" s="72" t="str">
        <f>IF(C41="","",IF(AND(G41&lt;Settings!$B$31,(G41+F41)&gt;=Settings!$B$31),Settings!$B$33,0)+IF(AND(G41&lt;Settings!$C$31,(G41+F41)&gt;=Settings!$C$31),Settings!$C$33,0)+IF(AND(G41&lt;Settings!$D$31,(G41+F41)&gt;=Settings!$D$31),Settings!$D$33,0))</f>
        <v/>
      </c>
      <c r="J41" s="74" t="str">
        <f t="shared" si="2"/>
        <v/>
      </c>
    </row>
    <row r="42" spans="1:10" ht="19.5" customHeight="1">
      <c r="A42" s="35">
        <v>34</v>
      </c>
      <c r="B42" s="31"/>
      <c r="C42" s="40"/>
      <c r="D42" s="41" t="str">
        <f t="shared" si="3"/>
        <v/>
      </c>
      <c r="E42" s="41" t="str">
        <f t="shared" si="4"/>
        <v/>
      </c>
      <c r="F42" t="str">
        <f>IF(C42="","",(C42/1000*Settings!$B$16*$H$6)+MAX(0,MIN(G42+(C42/1000*Settings!$B$16*$H$6),Settings!$C$31)-MAX(G42,Settings!$B$31))*Settings!$B$32+MAX(0,MIN(G42+(C42/1000*Settings!$B$16*$H$6),Settings!$D$31)-MAX(G42,Settings!$C$31))*Settings!$C$32+MAX(0,(G42+(C42/1000*Settings!$B$16*$H$6))-MAX(G42,Settings!$D$31))*Settings!$D$32)</f>
        <v/>
      </c>
      <c r="G42" s="73" t="str">
        <f>IF(C42="","",SUM($J$9:J41))</f>
        <v/>
      </c>
      <c r="H42" t="str">
        <f>IF(OR(C42="",C42=0),"",(F42-(C42/1000*Settings!$B$16*$H$6))/(C42/1000*Settings!$B$16*$H$6))</f>
        <v/>
      </c>
      <c r="I42" s="72" t="str">
        <f>IF(C42="","",IF(AND(G42&lt;Settings!$B$31,(G42+F42)&gt;=Settings!$B$31),Settings!$B$33,0)+IF(AND(G42&lt;Settings!$C$31,(G42+F42)&gt;=Settings!$C$31),Settings!$C$33,0)+IF(AND(G42&lt;Settings!$D$31,(G42+F42)&gt;=Settings!$D$31),Settings!$D$33,0))</f>
        <v/>
      </c>
      <c r="J42" s="74" t="str">
        <f t="shared" si="2"/>
        <v/>
      </c>
    </row>
    <row r="43" spans="1:10" ht="19.5" customHeight="1">
      <c r="A43" s="35">
        <v>35</v>
      </c>
      <c r="B43" s="31"/>
      <c r="C43" s="40"/>
      <c r="D43" s="41" t="str">
        <f t="shared" si="3"/>
        <v/>
      </c>
      <c r="E43" s="41" t="str">
        <f t="shared" si="4"/>
        <v/>
      </c>
      <c r="F43" t="str">
        <f>IF(C43="","",(C43/1000*Settings!$B$16*$H$6)+MAX(0,MIN(G43+(C43/1000*Settings!$B$16*$H$6),Settings!$C$31)-MAX(G43,Settings!$B$31))*Settings!$B$32+MAX(0,MIN(G43+(C43/1000*Settings!$B$16*$H$6),Settings!$D$31)-MAX(G43,Settings!$C$31))*Settings!$C$32+MAX(0,(G43+(C43/1000*Settings!$B$16*$H$6))-MAX(G43,Settings!$D$31))*Settings!$D$32)</f>
        <v/>
      </c>
      <c r="G43" s="73" t="str">
        <f>IF(C43="","",SUM($J$9:J42))</f>
        <v/>
      </c>
      <c r="H43" t="str">
        <f>IF(OR(C43="",C43=0),"",(F43-(C43/1000*Settings!$B$16*$H$6))/(C43/1000*Settings!$B$16*$H$6))</f>
        <v/>
      </c>
      <c r="I43" s="72" t="str">
        <f>IF(C43="","",IF(AND(G43&lt;Settings!$B$31,(G43+F43)&gt;=Settings!$B$31),Settings!$B$33,0)+IF(AND(G43&lt;Settings!$C$31,(G43+F43)&gt;=Settings!$C$31),Settings!$C$33,0)+IF(AND(G43&lt;Settings!$D$31,(G43+F43)&gt;=Settings!$D$31),Settings!$D$33,0))</f>
        <v/>
      </c>
      <c r="J43" s="74" t="str">
        <f t="shared" si="2"/>
        <v/>
      </c>
    </row>
    <row r="44" spans="1:10" ht="19.5" customHeight="1">
      <c r="A44" s="35">
        <v>36</v>
      </c>
      <c r="B44" s="31"/>
      <c r="C44" s="40"/>
      <c r="D44" s="41" t="str">
        <f t="shared" si="3"/>
        <v/>
      </c>
      <c r="E44" s="41" t="str">
        <f t="shared" si="4"/>
        <v/>
      </c>
      <c r="F44" t="str">
        <f>IF(C44="","",(C44/1000*Settings!$B$16*$H$6)+MAX(0,MIN(G44+(C44/1000*Settings!$B$16*$H$6),Settings!$C$31)-MAX(G44,Settings!$B$31))*Settings!$B$32+MAX(0,MIN(G44+(C44/1000*Settings!$B$16*$H$6),Settings!$D$31)-MAX(G44,Settings!$C$31))*Settings!$C$32+MAX(0,(G44+(C44/1000*Settings!$B$16*$H$6))-MAX(G44,Settings!$D$31))*Settings!$D$32)</f>
        <v/>
      </c>
      <c r="G44" s="73" t="str">
        <f>IF(C44="","",SUM($J$9:J43))</f>
        <v/>
      </c>
      <c r="H44" t="str">
        <f>IF(OR(C44="",C44=0),"",(F44-(C44/1000*Settings!$B$16*$H$6))/(C44/1000*Settings!$B$16*$H$6))</f>
        <v/>
      </c>
      <c r="I44" s="72" t="str">
        <f>IF(C44="","",IF(AND(G44&lt;Settings!$B$31,(G44+F44)&gt;=Settings!$B$31),Settings!$B$33,0)+IF(AND(G44&lt;Settings!$C$31,(G44+F44)&gt;=Settings!$C$31),Settings!$C$33,0)+IF(AND(G44&lt;Settings!$D$31,(G44+F44)&gt;=Settings!$D$31),Settings!$D$33,0))</f>
        <v/>
      </c>
      <c r="J44" s="74" t="str">
        <f t="shared" si="2"/>
        <v/>
      </c>
    </row>
    <row r="45" spans="1:10" ht="19.5" customHeight="1">
      <c r="A45" s="35">
        <v>37</v>
      </c>
      <c r="B45" s="31"/>
      <c r="C45" s="40"/>
      <c r="D45" s="41" t="str">
        <f t="shared" si="3"/>
        <v/>
      </c>
      <c r="E45" s="41" t="str">
        <f t="shared" si="4"/>
        <v/>
      </c>
      <c r="F45" t="str">
        <f>IF(C45="","",(C45/1000*Settings!$B$16*$H$6)+MAX(0,MIN(G45+(C45/1000*Settings!$B$16*$H$6),Settings!$C$31)-MAX(G45,Settings!$B$31))*Settings!$B$32+MAX(0,MIN(G45+(C45/1000*Settings!$B$16*$H$6),Settings!$D$31)-MAX(G45,Settings!$C$31))*Settings!$C$32+MAX(0,(G45+(C45/1000*Settings!$B$16*$H$6))-MAX(G45,Settings!$D$31))*Settings!$D$32)</f>
        <v/>
      </c>
      <c r="G45" s="73" t="str">
        <f>IF(C45="","",SUM($J$9:J44))</f>
        <v/>
      </c>
      <c r="H45" t="str">
        <f>IF(OR(C45="",C45=0),"",(F45-(C45/1000*Settings!$B$16*$H$6))/(C45/1000*Settings!$B$16*$H$6))</f>
        <v/>
      </c>
      <c r="I45" s="72" t="str">
        <f>IF(C45="","",IF(AND(G45&lt;Settings!$B$31,(G45+F45)&gt;=Settings!$B$31),Settings!$B$33,0)+IF(AND(G45&lt;Settings!$C$31,(G45+F45)&gt;=Settings!$C$31),Settings!$C$33,0)+IF(AND(G45&lt;Settings!$D$31,(G45+F45)&gt;=Settings!$D$31),Settings!$D$33,0))</f>
        <v/>
      </c>
      <c r="J45" s="74" t="str">
        <f t="shared" si="2"/>
        <v/>
      </c>
    </row>
    <row r="46" spans="1:10" ht="19.5" customHeight="1">
      <c r="A46" s="35">
        <v>38</v>
      </c>
      <c r="B46" s="31"/>
      <c r="C46" s="40"/>
      <c r="D46" s="41" t="str">
        <f t="shared" si="3"/>
        <v/>
      </c>
      <c r="E46" s="41" t="str">
        <f t="shared" si="4"/>
        <v/>
      </c>
      <c r="F46" t="str">
        <f>IF(C46="","",(C46/1000*Settings!$B$16*$H$6)+MAX(0,MIN(G46+(C46/1000*Settings!$B$16*$H$6),Settings!$C$31)-MAX(G46,Settings!$B$31))*Settings!$B$32+MAX(0,MIN(G46+(C46/1000*Settings!$B$16*$H$6),Settings!$D$31)-MAX(G46,Settings!$C$31))*Settings!$C$32+MAX(0,(G46+(C46/1000*Settings!$B$16*$H$6))-MAX(G46,Settings!$D$31))*Settings!$D$32)</f>
        <v/>
      </c>
      <c r="G46" s="73" t="str">
        <f>IF(C46="","",SUM($J$9:J45))</f>
        <v/>
      </c>
      <c r="H46" t="str">
        <f>IF(OR(C46="",C46=0),"",(F46-(C46/1000*Settings!$B$16*$H$6))/(C46/1000*Settings!$B$16*$H$6))</f>
        <v/>
      </c>
      <c r="I46" s="72" t="str">
        <f>IF(C46="","",IF(AND(G46&lt;Settings!$B$31,(G46+F46)&gt;=Settings!$B$31),Settings!$B$33,0)+IF(AND(G46&lt;Settings!$C$31,(G46+F46)&gt;=Settings!$C$31),Settings!$C$33,0)+IF(AND(G46&lt;Settings!$D$31,(G46+F46)&gt;=Settings!$D$31),Settings!$D$33,0))</f>
        <v/>
      </c>
      <c r="J46" s="74" t="str">
        <f t="shared" si="2"/>
        <v/>
      </c>
    </row>
    <row r="47" spans="1:10" ht="19.5" customHeight="1">
      <c r="A47" s="35">
        <v>39</v>
      </c>
      <c r="B47" s="31"/>
      <c r="C47" s="40"/>
      <c r="D47" s="41" t="str">
        <f t="shared" si="3"/>
        <v/>
      </c>
      <c r="E47" s="41" t="str">
        <f t="shared" si="4"/>
        <v/>
      </c>
      <c r="F47" t="str">
        <f>IF(C47="","",(C47/1000*Settings!$B$16*$H$6)+MAX(0,MIN(G47+(C47/1000*Settings!$B$16*$H$6),Settings!$C$31)-MAX(G47,Settings!$B$31))*Settings!$B$32+MAX(0,MIN(G47+(C47/1000*Settings!$B$16*$H$6),Settings!$D$31)-MAX(G47,Settings!$C$31))*Settings!$C$32+MAX(0,(G47+(C47/1000*Settings!$B$16*$H$6))-MAX(G47,Settings!$D$31))*Settings!$D$32)</f>
        <v/>
      </c>
      <c r="G47" s="73" t="str">
        <f>IF(C47="","",SUM($J$9:J46))</f>
        <v/>
      </c>
      <c r="H47" t="str">
        <f>IF(OR(C47="",C47=0),"",(F47-(C47/1000*Settings!$B$16*$H$6))/(C47/1000*Settings!$B$16*$H$6))</f>
        <v/>
      </c>
      <c r="I47" s="72" t="str">
        <f>IF(C47="","",IF(AND(G47&lt;Settings!$B$31,(G47+F47)&gt;=Settings!$B$31),Settings!$B$33,0)+IF(AND(G47&lt;Settings!$C$31,(G47+F47)&gt;=Settings!$C$31),Settings!$C$33,0)+IF(AND(G47&lt;Settings!$D$31,(G47+F47)&gt;=Settings!$D$31),Settings!$D$33,0))</f>
        <v/>
      </c>
      <c r="J47" s="74" t="str">
        <f t="shared" si="2"/>
        <v/>
      </c>
    </row>
    <row r="48" spans="1:10" ht="19.5" customHeight="1">
      <c r="A48" s="35">
        <v>40</v>
      </c>
      <c r="B48" s="31"/>
      <c r="C48" s="40"/>
      <c r="D48" s="41" t="str">
        <f t="shared" si="3"/>
        <v/>
      </c>
      <c r="E48" s="41" t="str">
        <f t="shared" si="4"/>
        <v/>
      </c>
      <c r="F48" t="str">
        <f>IF(C48="","",(C48/1000*Settings!$B$16*$H$6)+MAX(0,MIN(G48+(C48/1000*Settings!$B$16*$H$6),Settings!$C$31)-MAX(G48,Settings!$B$31))*Settings!$B$32+MAX(0,MIN(G48+(C48/1000*Settings!$B$16*$H$6),Settings!$D$31)-MAX(G48,Settings!$C$31))*Settings!$C$32+MAX(0,(G48+(C48/1000*Settings!$B$16*$H$6))-MAX(G48,Settings!$D$31))*Settings!$D$32)</f>
        <v/>
      </c>
      <c r="G48" s="73" t="str">
        <f>IF(C48="","",SUM($J$9:J47))</f>
        <v/>
      </c>
      <c r="H48" t="str">
        <f>IF(OR(C48="",C48=0),"",(F48-(C48/1000*Settings!$B$16*$H$6))/(C48/1000*Settings!$B$16*$H$6))</f>
        <v/>
      </c>
      <c r="I48" s="72" t="str">
        <f>IF(C48="","",IF(AND(G48&lt;Settings!$B$31,(G48+F48)&gt;=Settings!$B$31),Settings!$B$33,0)+IF(AND(G48&lt;Settings!$C$31,(G48+F48)&gt;=Settings!$C$31),Settings!$C$33,0)+IF(AND(G48&lt;Settings!$D$31,(G48+F48)&gt;=Settings!$D$31),Settings!$D$33,0))</f>
        <v/>
      </c>
      <c r="J48" s="74" t="str">
        <f t="shared" si="2"/>
        <v/>
      </c>
    </row>
    <row r="49" spans="1:10" ht="19.5" customHeight="1">
      <c r="A49" s="35">
        <v>41</v>
      </c>
      <c r="B49" s="31"/>
      <c r="C49" s="40"/>
      <c r="D49" s="41" t="str">
        <f t="shared" si="3"/>
        <v/>
      </c>
      <c r="E49" s="41" t="str">
        <f t="shared" si="4"/>
        <v/>
      </c>
      <c r="F49" t="str">
        <f>IF(C49="","",(C49/1000*Settings!$B$16*$H$6)+MAX(0,MIN(G49+(C49/1000*Settings!$B$16*$H$6),Settings!$C$31)-MAX(G49,Settings!$B$31))*Settings!$B$32+MAX(0,MIN(G49+(C49/1000*Settings!$B$16*$H$6),Settings!$D$31)-MAX(G49,Settings!$C$31))*Settings!$C$32+MAX(0,(G49+(C49/1000*Settings!$B$16*$H$6))-MAX(G49,Settings!$D$31))*Settings!$D$32)</f>
        <v/>
      </c>
      <c r="G49" s="73" t="str">
        <f>IF(C49="","",SUM($J$9:J48))</f>
        <v/>
      </c>
      <c r="H49" t="str">
        <f>IF(OR(C49="",C49=0),"",(F49-(C49/1000*Settings!$B$16*$H$6))/(C49/1000*Settings!$B$16*$H$6))</f>
        <v/>
      </c>
      <c r="I49" s="72" t="str">
        <f>IF(C49="","",IF(AND(G49&lt;Settings!$B$31,(G49+F49)&gt;=Settings!$B$31),Settings!$B$33,0)+IF(AND(G49&lt;Settings!$C$31,(G49+F49)&gt;=Settings!$C$31),Settings!$C$33,0)+IF(AND(G49&lt;Settings!$D$31,(G49+F49)&gt;=Settings!$D$31),Settings!$D$33,0))</f>
        <v/>
      </c>
      <c r="J49" s="74" t="str">
        <f t="shared" si="2"/>
        <v/>
      </c>
    </row>
    <row r="50" spans="1:10" ht="19.5" customHeight="1">
      <c r="A50" s="35">
        <v>42</v>
      </c>
      <c r="B50" s="31"/>
      <c r="C50" s="40"/>
      <c r="D50" s="41" t="str">
        <f t="shared" si="3"/>
        <v/>
      </c>
      <c r="E50" s="41" t="str">
        <f t="shared" si="4"/>
        <v/>
      </c>
      <c r="F50" t="str">
        <f>IF(C50="","",(C50/1000*Settings!$B$16*$H$6)+MAX(0,MIN(G50+(C50/1000*Settings!$B$16*$H$6),Settings!$C$31)-MAX(G50,Settings!$B$31))*Settings!$B$32+MAX(0,MIN(G50+(C50/1000*Settings!$B$16*$H$6),Settings!$D$31)-MAX(G50,Settings!$C$31))*Settings!$C$32+MAX(0,(G50+(C50/1000*Settings!$B$16*$H$6))-MAX(G50,Settings!$D$31))*Settings!$D$32)</f>
        <v/>
      </c>
      <c r="G50" s="73" t="str">
        <f>IF(C50="","",SUM($J$9:J49))</f>
        <v/>
      </c>
      <c r="H50" t="str">
        <f>IF(OR(C50="",C50=0),"",(F50-(C50/1000*Settings!$B$16*$H$6))/(C50/1000*Settings!$B$16*$H$6))</f>
        <v/>
      </c>
      <c r="I50" s="72" t="str">
        <f>IF(C50="","",IF(AND(G50&lt;Settings!$B$31,(G50+F50)&gt;=Settings!$B$31),Settings!$B$33,0)+IF(AND(G50&lt;Settings!$C$31,(G50+F50)&gt;=Settings!$C$31),Settings!$C$33,0)+IF(AND(G50&lt;Settings!$D$31,(G50+F50)&gt;=Settings!$D$31),Settings!$D$33,0))</f>
        <v/>
      </c>
      <c r="J50" s="74" t="str">
        <f t="shared" si="2"/>
        <v/>
      </c>
    </row>
    <row r="51" spans="1:10" ht="19.5" customHeight="1">
      <c r="A51" s="35">
        <v>43</v>
      </c>
      <c r="B51" s="31"/>
      <c r="C51" s="40"/>
      <c r="D51" s="41" t="str">
        <f t="shared" si="3"/>
        <v/>
      </c>
      <c r="E51" s="41" t="str">
        <f t="shared" si="4"/>
        <v/>
      </c>
      <c r="F51" t="str">
        <f>IF(C51="","",(C51/1000*Settings!$B$16*$H$6)+MAX(0,MIN(G51+(C51/1000*Settings!$B$16*$H$6),Settings!$C$31)-MAX(G51,Settings!$B$31))*Settings!$B$32+MAX(0,MIN(G51+(C51/1000*Settings!$B$16*$H$6),Settings!$D$31)-MAX(G51,Settings!$C$31))*Settings!$C$32+MAX(0,(G51+(C51/1000*Settings!$B$16*$H$6))-MAX(G51,Settings!$D$31))*Settings!$D$32)</f>
        <v/>
      </c>
      <c r="G51" s="73" t="str">
        <f>IF(C51="","",SUM($J$9:J50))</f>
        <v/>
      </c>
      <c r="H51" t="str">
        <f>IF(OR(C51="",C51=0),"",(F51-(C51/1000*Settings!$B$16*$H$6))/(C51/1000*Settings!$B$16*$H$6))</f>
        <v/>
      </c>
      <c r="I51" s="72" t="str">
        <f>IF(C51="","",IF(AND(G51&lt;Settings!$B$31,(G51+F51)&gt;=Settings!$B$31),Settings!$B$33,0)+IF(AND(G51&lt;Settings!$C$31,(G51+F51)&gt;=Settings!$C$31),Settings!$C$33,0)+IF(AND(G51&lt;Settings!$D$31,(G51+F51)&gt;=Settings!$D$31),Settings!$D$33,0))</f>
        <v/>
      </c>
      <c r="J51" s="74" t="str">
        <f t="shared" si="2"/>
        <v/>
      </c>
    </row>
    <row r="52" spans="1:10" ht="19.5" customHeight="1">
      <c r="A52" s="35">
        <v>44</v>
      </c>
      <c r="B52" s="31"/>
      <c r="C52" s="40"/>
      <c r="D52" s="41" t="str">
        <f t="shared" si="3"/>
        <v/>
      </c>
      <c r="E52" s="41" t="str">
        <f t="shared" si="4"/>
        <v/>
      </c>
      <c r="F52" t="str">
        <f>IF(C52="","",(C52/1000*Settings!$B$16*$H$6)+MAX(0,MIN(G52+(C52/1000*Settings!$B$16*$H$6),Settings!$C$31)-MAX(G52,Settings!$B$31))*Settings!$B$32+MAX(0,MIN(G52+(C52/1000*Settings!$B$16*$H$6),Settings!$D$31)-MAX(G52,Settings!$C$31))*Settings!$C$32+MAX(0,(G52+(C52/1000*Settings!$B$16*$H$6))-MAX(G52,Settings!$D$31))*Settings!$D$32)</f>
        <v/>
      </c>
      <c r="G52" s="73" t="str">
        <f>IF(C52="","",SUM($J$9:J51))</f>
        <v/>
      </c>
      <c r="H52" t="str">
        <f>IF(OR(C52="",C52=0),"",(F52-(C52/1000*Settings!$B$16*$H$6))/(C52/1000*Settings!$B$16*$H$6))</f>
        <v/>
      </c>
      <c r="I52" s="72" t="str">
        <f>IF(C52="","",IF(AND(G52&lt;Settings!$B$31,(G52+F52)&gt;=Settings!$B$31),Settings!$B$33,0)+IF(AND(G52&lt;Settings!$C$31,(G52+F52)&gt;=Settings!$C$31),Settings!$C$33,0)+IF(AND(G52&lt;Settings!$D$31,(G52+F52)&gt;=Settings!$D$31),Settings!$D$33,0))</f>
        <v/>
      </c>
      <c r="J52" s="74" t="str">
        <f t="shared" si="2"/>
        <v/>
      </c>
    </row>
    <row r="53" spans="1:10" ht="19.5" customHeight="1">
      <c r="A53" s="35">
        <v>45</v>
      </c>
      <c r="B53" s="31"/>
      <c r="C53" s="40"/>
      <c r="D53" s="41" t="str">
        <f t="shared" si="3"/>
        <v/>
      </c>
      <c r="E53" s="41" t="str">
        <f t="shared" si="4"/>
        <v/>
      </c>
      <c r="F53" t="str">
        <f>IF(C53="","",(C53/1000*Settings!$B$16*$H$6)+MAX(0,MIN(G53+(C53/1000*Settings!$B$16*$H$6),Settings!$C$31)-MAX(G53,Settings!$B$31))*Settings!$B$32+MAX(0,MIN(G53+(C53/1000*Settings!$B$16*$H$6),Settings!$D$31)-MAX(G53,Settings!$C$31))*Settings!$C$32+MAX(0,(G53+(C53/1000*Settings!$B$16*$H$6))-MAX(G53,Settings!$D$31))*Settings!$D$32)</f>
        <v/>
      </c>
      <c r="G53" s="73" t="str">
        <f>IF(C53="","",SUM($J$9:J52))</f>
        <v/>
      </c>
      <c r="H53" t="str">
        <f>IF(OR(C53="",C53=0),"",(F53-(C53/1000*Settings!$B$16*$H$6))/(C53/1000*Settings!$B$16*$H$6))</f>
        <v/>
      </c>
      <c r="I53" s="72" t="str">
        <f>IF(C53="","",IF(AND(G53&lt;Settings!$B$31,(G53+F53)&gt;=Settings!$B$31),Settings!$B$33,0)+IF(AND(G53&lt;Settings!$C$31,(G53+F53)&gt;=Settings!$C$31),Settings!$C$33,0)+IF(AND(G53&lt;Settings!$D$31,(G53+F53)&gt;=Settings!$D$31),Settings!$D$33,0))</f>
        <v/>
      </c>
      <c r="J53" s="74" t="str">
        <f t="shared" si="2"/>
        <v/>
      </c>
    </row>
    <row r="54" spans="1:10" ht="19.5" customHeight="1">
      <c r="A54" s="35">
        <v>46</v>
      </c>
      <c r="B54" s="31"/>
      <c r="C54" s="40"/>
      <c r="D54" s="41" t="str">
        <f t="shared" si="3"/>
        <v/>
      </c>
      <c r="E54" s="41" t="str">
        <f t="shared" si="4"/>
        <v/>
      </c>
      <c r="F54" t="str">
        <f>IF(C54="","",(C54/1000*Settings!$B$16*$H$6)+MAX(0,MIN(G54+(C54/1000*Settings!$B$16*$H$6),Settings!$C$31)-MAX(G54,Settings!$B$31))*Settings!$B$32+MAX(0,MIN(G54+(C54/1000*Settings!$B$16*$H$6),Settings!$D$31)-MAX(G54,Settings!$C$31))*Settings!$C$32+MAX(0,(G54+(C54/1000*Settings!$B$16*$H$6))-MAX(G54,Settings!$D$31))*Settings!$D$32)</f>
        <v/>
      </c>
      <c r="G54" s="73" t="str">
        <f>IF(C54="","",SUM($J$9:J53))</f>
        <v/>
      </c>
      <c r="H54" t="str">
        <f>IF(OR(C54="",C54=0),"",(F54-(C54/1000*Settings!$B$16*$H$6))/(C54/1000*Settings!$B$16*$H$6))</f>
        <v/>
      </c>
      <c r="I54" s="72" t="str">
        <f>IF(C54="","",IF(AND(G54&lt;Settings!$B$31,(G54+F54)&gt;=Settings!$B$31),Settings!$B$33,0)+IF(AND(G54&lt;Settings!$C$31,(G54+F54)&gt;=Settings!$C$31),Settings!$C$33,0)+IF(AND(G54&lt;Settings!$D$31,(G54+F54)&gt;=Settings!$D$31),Settings!$D$33,0))</f>
        <v/>
      </c>
      <c r="J54" s="74" t="str">
        <f t="shared" si="2"/>
        <v/>
      </c>
    </row>
    <row r="55" spans="1:10" ht="19.5" customHeight="1">
      <c r="A55" s="35">
        <v>47</v>
      </c>
      <c r="B55" s="31"/>
      <c r="C55" s="40"/>
      <c r="D55" s="41" t="str">
        <f t="shared" si="3"/>
        <v/>
      </c>
      <c r="E55" s="41" t="str">
        <f t="shared" si="4"/>
        <v/>
      </c>
      <c r="F55" t="str">
        <f>IF(C55="","",(C55/1000*Settings!$B$16*$H$6)+MAX(0,MIN(G55+(C55/1000*Settings!$B$16*$H$6),Settings!$C$31)-MAX(G55,Settings!$B$31))*Settings!$B$32+MAX(0,MIN(G55+(C55/1000*Settings!$B$16*$H$6),Settings!$D$31)-MAX(G55,Settings!$C$31))*Settings!$C$32+MAX(0,(G55+(C55/1000*Settings!$B$16*$H$6))-MAX(G55,Settings!$D$31))*Settings!$D$32)</f>
        <v/>
      </c>
      <c r="G55" s="73" t="str">
        <f>IF(C55="","",SUM($J$9:J54))</f>
        <v/>
      </c>
      <c r="H55" t="str">
        <f>IF(OR(C55="",C55=0),"",(F55-(C55/1000*Settings!$B$16*$H$6))/(C55/1000*Settings!$B$16*$H$6))</f>
        <v/>
      </c>
      <c r="I55" s="72" t="str">
        <f>IF(C55="","",IF(AND(G55&lt;Settings!$B$31,(G55+F55)&gt;=Settings!$B$31),Settings!$B$33,0)+IF(AND(G55&lt;Settings!$C$31,(G55+F55)&gt;=Settings!$C$31),Settings!$C$33,0)+IF(AND(G55&lt;Settings!$D$31,(G55+F55)&gt;=Settings!$D$31),Settings!$D$33,0))</f>
        <v/>
      </c>
      <c r="J55" s="74" t="str">
        <f t="shared" si="2"/>
        <v/>
      </c>
    </row>
    <row r="56" spans="1:10" ht="19.5" customHeight="1">
      <c r="A56" s="35">
        <v>48</v>
      </c>
      <c r="B56" s="31"/>
      <c r="C56" s="40"/>
      <c r="D56" s="41" t="str">
        <f t="shared" si="3"/>
        <v/>
      </c>
      <c r="E56" s="41" t="str">
        <f t="shared" si="4"/>
        <v/>
      </c>
      <c r="F56" t="str">
        <f>IF(C56="","",(C56/1000*Settings!$B$16*$H$6)+MAX(0,MIN(G56+(C56/1000*Settings!$B$16*$H$6),Settings!$C$31)-MAX(G56,Settings!$B$31))*Settings!$B$32+MAX(0,MIN(G56+(C56/1000*Settings!$B$16*$H$6),Settings!$D$31)-MAX(G56,Settings!$C$31))*Settings!$C$32+MAX(0,(G56+(C56/1000*Settings!$B$16*$H$6))-MAX(G56,Settings!$D$31))*Settings!$D$32)</f>
        <v/>
      </c>
      <c r="G56" s="73" t="str">
        <f>IF(C56="","",SUM($J$9:J55))</f>
        <v/>
      </c>
      <c r="H56" t="str">
        <f>IF(OR(C56="",C56=0),"",(F56-(C56/1000*Settings!$B$16*$H$6))/(C56/1000*Settings!$B$16*$H$6))</f>
        <v/>
      </c>
      <c r="I56" s="72" t="str">
        <f>IF(C56="","",IF(AND(G56&lt;Settings!$B$31,(G56+F56)&gt;=Settings!$B$31),Settings!$B$33,0)+IF(AND(G56&lt;Settings!$C$31,(G56+F56)&gt;=Settings!$C$31),Settings!$C$33,0)+IF(AND(G56&lt;Settings!$D$31,(G56+F56)&gt;=Settings!$D$31),Settings!$D$33,0))</f>
        <v/>
      </c>
      <c r="J56" s="74" t="str">
        <f t="shared" si="2"/>
        <v/>
      </c>
    </row>
    <row r="57" spans="1:10" ht="24" customHeight="1">
      <c r="A57" s="35">
        <v>49</v>
      </c>
      <c r="B57" s="31"/>
      <c r="C57" s="40"/>
      <c r="D57" s="41" t="str">
        <f t="shared" si="3"/>
        <v/>
      </c>
      <c r="E57" s="41" t="str">
        <f t="shared" si="4"/>
        <v/>
      </c>
      <c r="F57" t="str">
        <f>IF(C57="","",(C57/1000*Settings!$B$16*$H$6)+MAX(0,MIN(G57+(C57/1000*Settings!$B$16*$H$6),Settings!$C$31)-MAX(G57,Settings!$B$31))*Settings!$B$32+MAX(0,MIN(G57+(C57/1000*Settings!$B$16*$H$6),Settings!$D$31)-MAX(G57,Settings!$C$31))*Settings!$C$32+MAX(0,(G57+(C57/1000*Settings!$B$16*$H$6))-MAX(G57,Settings!$D$31))*Settings!$D$32)</f>
        <v/>
      </c>
      <c r="G57" s="73" t="str">
        <f>IF(C57="","",SUM($J$9:J56))</f>
        <v/>
      </c>
      <c r="H57" t="str">
        <f>IF(OR(C57="",C57=0),"",(F57-(C57/1000*Settings!$B$16*$H$6))/(C57/1000*Settings!$B$16*$H$6))</f>
        <v/>
      </c>
      <c r="I57" s="72" t="str">
        <f>IF(C57="","",IF(AND(G57&lt;Settings!$B$31,(G57+F57)&gt;=Settings!$B$31),Settings!$B$33,0)+IF(AND(G57&lt;Settings!$C$31,(G57+F57)&gt;=Settings!$C$31),Settings!$C$33,0)+IF(AND(G57&lt;Settings!$D$31,(G57+F57)&gt;=Settings!$D$31),Settings!$D$33,0))</f>
        <v/>
      </c>
      <c r="J57" s="74" t="str">
        <f t="shared" si="2"/>
        <v/>
      </c>
    </row>
    <row r="58" spans="1:10" ht="36" customHeight="1">
      <c r="A58" s="35">
        <v>50</v>
      </c>
      <c r="B58" s="31"/>
      <c r="C58" s="40"/>
      <c r="D58" s="41" t="str">
        <f t="shared" si="3"/>
        <v/>
      </c>
      <c r="E58" s="41" t="str">
        <f t="shared" si="4"/>
        <v/>
      </c>
      <c r="F58" t="str">
        <f>IF(C58="","",(C58/1000*Settings!$B$16*$H$6)+MAX(0,MIN(G58+(C58/1000*Settings!$B$16*$H$6),Settings!$C$31)-MAX(G58,Settings!$B$31))*Settings!$B$32+MAX(0,MIN(G58+(C58/1000*Settings!$B$16*$H$6),Settings!$D$31)-MAX(G58,Settings!$C$31))*Settings!$C$32+MAX(0,(G58+(C58/1000*Settings!$B$16*$H$6))-MAX(G58,Settings!$D$31))*Settings!$D$32)</f>
        <v/>
      </c>
      <c r="G58" s="73" t="str">
        <f>IF(C58="","",SUM($J$9:J57))</f>
        <v/>
      </c>
      <c r="H58" t="str">
        <f>IF(OR(C58="",C58=0),"",(F58-(C58/1000*Settings!$B$16*$H$6))/(C58/1000*Settings!$B$16*$H$6))</f>
        <v/>
      </c>
      <c r="I58" s="72" t="str">
        <f>IF(C58="","",IF(AND(G58&lt;Settings!$B$31,(G58+F58)&gt;=Settings!$B$31),Settings!$B$33,0)+IF(AND(G58&lt;Settings!$C$31,(G58+F58)&gt;=Settings!$C$31),Settings!$C$33,0)+IF(AND(G58&lt;Settings!$D$31,(G58+F58)&gt;=Settings!$D$31),Settings!$D$33,0))</f>
        <v/>
      </c>
      <c r="J58" s="74" t="str">
        <f t="shared" si="2"/>
        <v/>
      </c>
    </row>
    <row r="60" spans="1:10">
      <c r="A60" s="38" t="s">
        <v>63</v>
      </c>
      <c r="B60" s="43"/>
      <c r="C60" s="45">
        <f>SUM(C9:C58)</f>
        <v>7000000</v>
      </c>
      <c r="D60" s="45">
        <f>SUM(D9:D58)</f>
        <v>560000</v>
      </c>
      <c r="E60" s="45">
        <f>SUM(E9:E58)</f>
        <v>6440000</v>
      </c>
      <c r="F60" s="75">
        <f>SUM(F9:F58)</f>
        <v>7350</v>
      </c>
      <c r="I60" s="75">
        <f>SUM(I9:I58)</f>
        <v>300</v>
      </c>
      <c r="J60" s="75">
        <f>SUM(J9:J58)</f>
        <v>7650</v>
      </c>
    </row>
    <row r="62" spans="1:10" ht="15.75">
      <c r="A62" s="47" t="s">
        <v>64</v>
      </c>
    </row>
    <row r="63" spans="1:10">
      <c r="A63" s="30" t="s">
        <v>65</v>
      </c>
      <c r="B63" s="44">
        <f>C60</f>
        <v>7000000</v>
      </c>
    </row>
    <row r="65" spans="1:2">
      <c r="A65" s="38" t="s">
        <v>66</v>
      </c>
    </row>
    <row r="66" spans="1:2">
      <c r="A66" t="s">
        <v>67</v>
      </c>
      <c r="B66" s="35" t="str">
        <f>E5</f>
        <v>Gold</v>
      </c>
    </row>
    <row r="67" spans="1:2">
      <c r="A67" t="s">
        <v>68</v>
      </c>
      <c r="B67" s="48" t="str">
        <f>IF(B63&gt;=Settings!D9,"Diamond",IF(B63&gt;=Settings!C9,"Platinum",IF(B63&gt;=Settings!B9,"Gold",IF(E5="Diamond","Platinum",IF(E5="Platinum","Gold","Gold")))))</f>
        <v>Diamond</v>
      </c>
    </row>
    <row r="68" spans="1:2">
      <c r="A68" t="s">
        <v>69</v>
      </c>
      <c r="B68" s="48" t="str">
        <f>IF(B67=E5,"→ HOLD",IF(OR(AND(E5="Gold",B67="Platinum"),AND(E5="Gold",B67="Diamond"),AND(E5="Platinum",B67="Diamond")),"↑ UPGRADE","↓ DOWNGRADE"))</f>
        <v>↑ UPGRADE</v>
      </c>
    </row>
    <row r="70" spans="1:2">
      <c r="A70" s="38"/>
    </row>
    <row r="71" spans="1:2">
      <c r="B71" s="35"/>
    </row>
    <row r="72" spans="1:2">
      <c r="B72" s="48"/>
    </row>
    <row r="73" spans="1:2">
      <c r="B73" s="48"/>
    </row>
    <row r="75" spans="1:2">
      <c r="A75" s="38" t="s">
        <v>70</v>
      </c>
    </row>
    <row r="76" spans="1:2">
      <c r="A76" t="s">
        <v>71</v>
      </c>
      <c r="B76" s="76">
        <f>J60</f>
        <v>7650</v>
      </c>
    </row>
    <row r="77" spans="1:2">
      <c r="A77" t="s">
        <v>72</v>
      </c>
      <c r="B77" s="50">
        <f>IF(H5="Diamond",Settings!D26,IF(H5="Platinum",Settings!C26,Settings!B26))</f>
        <v>1</v>
      </c>
    </row>
    <row r="78" spans="1:2">
      <c r="A78" s="30" t="s">
        <v>73</v>
      </c>
      <c r="B78" s="51">
        <f>B76*B77</f>
        <v>7650</v>
      </c>
    </row>
  </sheetData>
  <pageMargins left="0.75" right="0.75" top="1" bottom="1" header="0.511811023622047" footer="0.511811023622047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Views>
    <sheetView zoomScaleNormal="100" workbookViewId="0">
      <selection activeCell="A39" sqref="A39"/>
    </sheetView>
  </sheetViews>
  <sheetFormatPr defaultColWidth="8.7109375" defaultRowHeight="15"/>
  <cols>
    <col min="1" max="1" width="126.28515625" bestFit="1" customWidth="1"/>
    <col min="2" max="2" width="27" bestFit="1" customWidth="1"/>
    <col min="3" max="3" width="13.28515625" bestFit="1" customWidth="1"/>
    <col min="4" max="4" width="24.5703125" bestFit="1" customWidth="1"/>
    <col min="5" max="5" width="16" bestFit="1" customWidth="1"/>
    <col min="6" max="6" width="8.85546875" bestFit="1" customWidth="1"/>
  </cols>
  <sheetData>
    <row r="1" spans="1:6" ht="15" customHeight="1">
      <c r="A1" s="53" t="s">
        <v>74</v>
      </c>
    </row>
    <row r="2" spans="1:6">
      <c r="A2" s="29" t="s">
        <v>75</v>
      </c>
    </row>
    <row r="4" spans="1:6">
      <c r="A4" s="38" t="s">
        <v>76</v>
      </c>
      <c r="B4" s="39" t="s">
        <v>77</v>
      </c>
      <c r="C4" s="39" t="s">
        <v>15</v>
      </c>
      <c r="D4" s="39" t="s">
        <v>78</v>
      </c>
      <c r="E4" s="39" t="s">
        <v>18</v>
      </c>
      <c r="F4" s="39" t="s">
        <v>79</v>
      </c>
    </row>
    <row r="5" spans="1:6">
      <c r="A5" s="30" t="s">
        <v>3</v>
      </c>
      <c r="B5" s="54">
        <f>Settings!B9</f>
        <v>1000000</v>
      </c>
      <c r="C5" s="36">
        <f>Settings!B10</f>
        <v>0.08</v>
      </c>
      <c r="D5" s="54">
        <f>Settings!B14</f>
        <v>3000000</v>
      </c>
      <c r="E5" s="37">
        <f>Settings!B15</f>
        <v>1</v>
      </c>
      <c r="F5" s="55">
        <f>Settings!B26</f>
        <v>1</v>
      </c>
    </row>
    <row r="6" spans="1:6">
      <c r="A6" s="30" t="s">
        <v>4</v>
      </c>
      <c r="B6" s="54">
        <f>Settings!C9</f>
        <v>3000000</v>
      </c>
      <c r="C6" s="36">
        <f>Settings!C10</f>
        <v>0.1</v>
      </c>
      <c r="D6" s="54">
        <f>Settings!C14</f>
        <v>7000000</v>
      </c>
      <c r="E6" s="37">
        <f>Settings!C15</f>
        <v>1.5</v>
      </c>
      <c r="F6" s="55">
        <f>Settings!C26</f>
        <v>1.25</v>
      </c>
    </row>
    <row r="7" spans="1:6">
      <c r="A7" s="30" t="s">
        <v>5</v>
      </c>
      <c r="B7" s="54">
        <f>Settings!D9</f>
        <v>5000000</v>
      </c>
      <c r="C7" s="36">
        <f>Settings!D10</f>
        <v>0.12</v>
      </c>
      <c r="D7" s="54">
        <f>Settings!D14</f>
        <v>7100000</v>
      </c>
      <c r="E7" s="37">
        <f>Settings!D15</f>
        <v>2</v>
      </c>
      <c r="F7" s="55">
        <f>Settings!D26</f>
        <v>1.7</v>
      </c>
    </row>
    <row r="9" spans="1:6">
      <c r="A9" s="29" t="s">
        <v>80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B3AB7"/>
  </sheetPr>
  <dimension ref="A1:D48"/>
  <sheetViews>
    <sheetView showGridLines="0" topLeftCell="A4" zoomScaleNormal="100" workbookViewId="0">
      <selection activeCell="B11" sqref="B11"/>
    </sheetView>
  </sheetViews>
  <sheetFormatPr defaultColWidth="8.7109375" defaultRowHeight="15"/>
  <cols>
    <col min="1" max="1" width="50.140625" customWidth="1"/>
    <col min="2" max="2" width="14" bestFit="1" customWidth="1"/>
    <col min="3" max="4" width="18" bestFit="1" customWidth="1"/>
    <col min="5" max="5" width="24" customWidth="1"/>
  </cols>
  <sheetData>
    <row r="1" spans="1:4" ht="9.75" customHeight="1"/>
    <row r="2" spans="1:4" ht="36" customHeight="1">
      <c r="A2" s="28" t="s">
        <v>81</v>
      </c>
    </row>
    <row r="3" spans="1:4" ht="18" customHeight="1">
      <c r="A3" s="29" t="s">
        <v>82</v>
      </c>
    </row>
    <row r="5" spans="1:4" ht="21.75" customHeight="1">
      <c r="A5" s="56" t="s">
        <v>83</v>
      </c>
    </row>
    <row r="6" spans="1:4" ht="19.5" customHeight="1">
      <c r="A6" t="s">
        <v>84</v>
      </c>
      <c r="B6" s="57">
        <f>'Bill Calculator'!C60</f>
        <v>7000000</v>
      </c>
    </row>
    <row r="7" spans="1:4" ht="19.5" customHeight="1">
      <c r="A7" t="s">
        <v>85</v>
      </c>
      <c r="B7" s="57">
        <f>'Bill Calculator'!D60</f>
        <v>560000</v>
      </c>
    </row>
    <row r="8" spans="1:4" ht="19.5" customHeight="1">
      <c r="A8" t="s">
        <v>86</v>
      </c>
      <c r="B8" s="57">
        <f>'Bill Calculator'!E60</f>
        <v>6440000</v>
      </c>
    </row>
    <row r="9" spans="1:4" ht="19.5" customHeight="1">
      <c r="A9" t="s">
        <v>87</v>
      </c>
      <c r="B9" s="49">
        <f>'Bill Calculator'!J60</f>
        <v>7650</v>
      </c>
    </row>
    <row r="10" spans="1:4" ht="19.5" customHeight="1">
      <c r="A10" t="s">
        <v>88</v>
      </c>
      <c r="B10" s="57">
        <f>'Bill Calculator'!B78</f>
        <v>7650</v>
      </c>
    </row>
    <row r="11" spans="1:4" ht="19.5" customHeight="1">
      <c r="A11" s="30" t="s">
        <v>89</v>
      </c>
      <c r="B11" s="58">
        <f>B7+B10</f>
        <v>567650</v>
      </c>
      <c r="D11" t="s">
        <v>90</v>
      </c>
    </row>
    <row r="12" spans="1:4" ht="19.5" customHeight="1">
      <c r="A12" s="30" t="s">
        <v>91</v>
      </c>
      <c r="B12" s="59">
        <f>IFERROR(B11/B6,0)</f>
        <v>8.1092857142857147E-2</v>
      </c>
    </row>
    <row r="13" spans="1:4" ht="19.5" customHeight="1"/>
    <row r="14" spans="1:4">
      <c r="A14" s="56" t="s">
        <v>92</v>
      </c>
    </row>
    <row r="15" spans="1:4" ht="21.75" customHeight="1"/>
    <row r="16" spans="1:4" ht="19.5" customHeight="1">
      <c r="A16" s="43"/>
      <c r="B16" s="39" t="s">
        <v>93</v>
      </c>
      <c r="C16" s="39" t="s">
        <v>94</v>
      </c>
      <c r="D16" s="39" t="s">
        <v>95</v>
      </c>
    </row>
    <row r="17" spans="1:4" ht="19.5" customHeight="1">
      <c r="A17" s="30" t="s">
        <v>15</v>
      </c>
      <c r="B17" s="36">
        <f>Settings!B10</f>
        <v>0.08</v>
      </c>
      <c r="C17" s="36">
        <f>Settings!C10</f>
        <v>0.1</v>
      </c>
      <c r="D17" s="36">
        <f>Settings!D10</f>
        <v>0.12</v>
      </c>
    </row>
    <row r="18" spans="1:4" ht="15" customHeight="1"/>
    <row r="19" spans="1:4" ht="24" customHeight="1">
      <c r="A19" s="30" t="s">
        <v>96</v>
      </c>
      <c r="B19" s="39" t="s">
        <v>97</v>
      </c>
      <c r="C19" s="39" t="s">
        <v>98</v>
      </c>
      <c r="D19" s="39" t="s">
        <v>99</v>
      </c>
    </row>
    <row r="20" spans="1:4">
      <c r="A20" t="s">
        <v>100</v>
      </c>
      <c r="B20" s="55">
        <f>Settings!B17*Settings!B26</f>
        <v>1</v>
      </c>
      <c r="C20" s="55">
        <f>Settings!C17*Settings!C26</f>
        <v>1.875</v>
      </c>
      <c r="D20" s="55">
        <f>Settings!D17*Settings!D26</f>
        <v>3.4</v>
      </c>
    </row>
    <row r="21" spans="1:4" ht="21.75" customHeight="1">
      <c r="A21" t="s">
        <v>101</v>
      </c>
      <c r="B21" s="60">
        <f>B20/1000</f>
        <v>1E-3</v>
      </c>
      <c r="C21" s="60">
        <f>C20/1000</f>
        <v>1.8749999999999999E-3</v>
      </c>
      <c r="D21" s="60">
        <f>D20/1000</f>
        <v>3.3999999999999998E-3</v>
      </c>
    </row>
    <row r="22" spans="1:4" ht="19.5" customHeight="1"/>
    <row r="23" spans="1:4" ht="54.75" customHeight="1">
      <c r="A23" s="56" t="s">
        <v>102</v>
      </c>
    </row>
    <row r="24" spans="1:4" ht="53.25" customHeight="1">
      <c r="A24" t="s">
        <v>103</v>
      </c>
      <c r="B24" s="61">
        <f>Settings!D10+D21</f>
        <v>0.1234</v>
      </c>
    </row>
    <row r="25" spans="1:4">
      <c r="A25" t="s">
        <v>104</v>
      </c>
      <c r="B25" s="61">
        <f>Settings!C10+C21</f>
        <v>0.10187500000000001</v>
      </c>
    </row>
    <row r="26" spans="1:4">
      <c r="A26" t="s">
        <v>105</v>
      </c>
      <c r="B26" s="61">
        <f>Settings!B10+B21</f>
        <v>8.1000000000000003E-2</v>
      </c>
    </row>
    <row r="27" spans="1:4" ht="21.75" customHeight="1"/>
    <row r="28" spans="1:4" ht="21.75" customHeight="1">
      <c r="A28" s="56" t="s">
        <v>106</v>
      </c>
    </row>
    <row r="29" spans="1:4" ht="19.5" customHeight="1">
      <c r="A29" t="s">
        <v>107</v>
      </c>
      <c r="B29" s="62">
        <v>0.22</v>
      </c>
    </row>
    <row r="30" spans="1:4" ht="19.5" customHeight="1">
      <c r="A30" s="30" t="s">
        <v>108</v>
      </c>
      <c r="B30" s="63">
        <f>B29-B24</f>
        <v>9.6600000000000005E-2</v>
      </c>
    </row>
    <row r="31" spans="1:4" ht="19.5" customHeight="1">
      <c r="A31" s="30" t="s">
        <v>109</v>
      </c>
      <c r="B31" s="63">
        <f>B29-B26</f>
        <v>0.13900000000000001</v>
      </c>
    </row>
    <row r="32" spans="1:4" ht="19.5" customHeight="1"/>
    <row r="33" spans="1:1" ht="19.5" customHeight="1">
      <c r="A33" s="29" t="s">
        <v>110</v>
      </c>
    </row>
    <row r="35" spans="1:1" ht="9.75" customHeight="1"/>
    <row r="36" spans="1:1" ht="19.5" customHeight="1"/>
    <row r="37" spans="1:1" ht="18" customHeight="1"/>
    <row r="38" spans="1:1" ht="18" customHeight="1"/>
    <row r="39" spans="1:1" ht="18" customHeight="1"/>
    <row r="40" spans="1:1" ht="18" customHeight="1"/>
    <row r="41" spans="1:1" ht="18" customHeight="1"/>
    <row r="43" spans="1:1" ht="21.75" customHeight="1"/>
    <row r="44" spans="1:1" ht="19.5" customHeight="1"/>
    <row r="45" spans="1:1" ht="19.5" customHeight="1"/>
    <row r="46" spans="1:1" ht="35.25" customHeight="1"/>
    <row r="47" spans="1:1" ht="40.5" customHeight="1"/>
    <row r="48" spans="1:1" ht="19.5" customHeight="1"/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D4A017"/>
  </sheetPr>
  <dimension ref="A1:K37"/>
  <sheetViews>
    <sheetView showGridLines="0" zoomScaleNormal="100" workbookViewId="0">
      <pane ySplit="5" topLeftCell="A6" activePane="bottomLeft" state="frozen"/>
      <selection pane="bottomLeft"/>
    </sheetView>
  </sheetViews>
  <sheetFormatPr defaultColWidth="8.7109375" defaultRowHeight="15"/>
  <cols>
    <col min="1" max="1" width="106.140625" bestFit="1" customWidth="1"/>
    <col min="2" max="2" width="14.42578125" bestFit="1" customWidth="1"/>
    <col min="3" max="3" width="22.42578125" bestFit="1" customWidth="1"/>
    <col min="4" max="4" width="20.140625" bestFit="1" customWidth="1"/>
    <col min="5" max="5" width="22.85546875" bestFit="1" customWidth="1"/>
    <col min="6" max="6" width="13.28515625" bestFit="1" customWidth="1"/>
    <col min="7" max="7" width="17.42578125" bestFit="1" customWidth="1"/>
    <col min="8" max="8" width="13.5703125" bestFit="1" customWidth="1"/>
    <col min="9" max="9" width="19.5703125" bestFit="1" customWidth="1"/>
    <col min="10" max="10" width="20.85546875" bestFit="1" customWidth="1"/>
    <col min="11" max="11" width="16.42578125" bestFit="1" customWidth="1"/>
  </cols>
  <sheetData>
    <row r="1" spans="1:11" ht="9.75" customHeight="1"/>
    <row r="2" spans="1:11" ht="36" customHeight="1">
      <c r="A2" s="28" t="s">
        <v>111</v>
      </c>
    </row>
    <row r="3" spans="1:11" ht="18" customHeight="1">
      <c r="A3" s="29" t="s">
        <v>112</v>
      </c>
    </row>
    <row r="4" spans="1:11" ht="7.5" customHeight="1"/>
    <row r="5" spans="1:11" ht="30" customHeight="1">
      <c r="A5" s="39" t="s">
        <v>53</v>
      </c>
      <c r="B5" s="38" t="s">
        <v>113</v>
      </c>
      <c r="C5" s="39" t="s">
        <v>114</v>
      </c>
      <c r="D5" s="39" t="s">
        <v>115</v>
      </c>
      <c r="E5" s="39" t="s">
        <v>116</v>
      </c>
      <c r="F5" s="39" t="s">
        <v>15</v>
      </c>
      <c r="G5" s="39" t="s">
        <v>85</v>
      </c>
      <c r="H5" s="39" t="s">
        <v>87</v>
      </c>
      <c r="I5" s="39" t="s">
        <v>117</v>
      </c>
      <c r="J5" s="39" t="s">
        <v>118</v>
      </c>
      <c r="K5" s="39" t="s">
        <v>119</v>
      </c>
    </row>
    <row r="6" spans="1:11" ht="19.5" customHeight="1">
      <c r="A6" s="35">
        <v>1</v>
      </c>
      <c r="B6" s="31"/>
      <c r="C6" s="64"/>
      <c r="D6" s="64"/>
      <c r="E6" s="40"/>
      <c r="F6" s="65" t="str">
        <f>IF(C6="","",IF(C6="Diamond",Settings!$D$10,IF(C6="Platinum",Settings!$C$10,IF(C6="Gold",Settings!$B$10,""))))</f>
        <v/>
      </c>
      <c r="G6" s="41" t="str">
        <f t="shared" ref="G6:G35" si="0">IF(OR(E6="",F6=""),"",E6*F6)</f>
        <v/>
      </c>
      <c r="H6" s="42" t="str">
        <f>IF(OR(D6="",E6=""),"",E6/1000*Settings!$B$16*IF(D6="Diamond",Settings!$D$15,IF(D6="Platinum",Settings!$C$15,Settings!$B$15)))</f>
        <v/>
      </c>
      <c r="I6" s="41" t="str">
        <f>IF(OR(D6="",H6=""),"",H6*IF(D6="Diamond",Settings!$D$26,IF(D6="Platinum",Settings!$C$26,Settings!$B$26)))</f>
        <v/>
      </c>
      <c r="J6" s="41">
        <f t="shared" ref="J6:J35" si="1">IFERROR(IF(G6="",0,G6)+IF(I6="",0,I6),0)</f>
        <v>0</v>
      </c>
      <c r="K6" s="66">
        <f t="shared" ref="K6:K35" si="2">IFERROR(J6/E6,0)</f>
        <v>0</v>
      </c>
    </row>
    <row r="7" spans="1:11" ht="19.5" customHeight="1">
      <c r="A7" s="35">
        <v>2</v>
      </c>
      <c r="B7" s="31"/>
      <c r="C7" s="64"/>
      <c r="D7" s="64"/>
      <c r="E7" s="40"/>
      <c r="F7" s="65" t="str">
        <f>IF(C7="","",IF(C7="Diamond",Settings!$D$10,IF(C7="Platinum",Settings!$C$10,IF(C7="Gold",Settings!$B$10,""))))</f>
        <v/>
      </c>
      <c r="G7" s="41" t="str">
        <f t="shared" si="0"/>
        <v/>
      </c>
      <c r="H7" s="42" t="str">
        <f>IF(OR(D7="",E7=""),"",E7/1000*Settings!$B$16*IF(D7="Diamond",Settings!$D$15,IF(D7="Platinum",Settings!$C$15,Settings!$B$15)))</f>
        <v/>
      </c>
      <c r="I7" s="41" t="str">
        <f>IF(OR(D7="",H7=""),"",H7*IF(D7="Diamond",Settings!$D$26,IF(D7="Platinum",Settings!$C$26,Settings!$B$26)))</f>
        <v/>
      </c>
      <c r="J7" s="41">
        <f t="shared" si="1"/>
        <v>0</v>
      </c>
      <c r="K7" s="66">
        <f t="shared" si="2"/>
        <v>0</v>
      </c>
    </row>
    <row r="8" spans="1:11" ht="19.5" customHeight="1">
      <c r="A8" s="35">
        <v>3</v>
      </c>
      <c r="B8" s="31"/>
      <c r="C8" s="64"/>
      <c r="D8" s="64"/>
      <c r="E8" s="40"/>
      <c r="F8" s="65" t="str">
        <f>IF(C8="","",IF(C8="Diamond",Settings!$D$10,IF(C8="Platinum",Settings!$C$10,IF(C8="Gold",Settings!$B$10,""))))</f>
        <v/>
      </c>
      <c r="G8" s="41" t="str">
        <f t="shared" si="0"/>
        <v/>
      </c>
      <c r="H8" s="42" t="str">
        <f>IF(OR(D8="",E8=""),"",E8/1000*Settings!$B$16*IF(D8="Diamond",Settings!$D$15,IF(D8="Platinum",Settings!$C$15,Settings!$B$15)))</f>
        <v/>
      </c>
      <c r="I8" s="41" t="str">
        <f>IF(OR(D8="",H8=""),"",H8*IF(D8="Diamond",Settings!$D$26,IF(D8="Platinum",Settings!$C$26,Settings!$B$26)))</f>
        <v/>
      </c>
      <c r="J8" s="41">
        <f t="shared" si="1"/>
        <v>0</v>
      </c>
      <c r="K8" s="66">
        <f t="shared" si="2"/>
        <v>0</v>
      </c>
    </row>
    <row r="9" spans="1:11" ht="19.5" customHeight="1">
      <c r="A9" s="35">
        <v>4</v>
      </c>
      <c r="B9" s="31"/>
      <c r="C9" s="64"/>
      <c r="D9" s="64"/>
      <c r="E9" s="40"/>
      <c r="F9" s="65" t="str">
        <f>IF(C9="","",IF(C9="Diamond",Settings!$D$10,IF(C9="Platinum",Settings!$C$10,IF(C9="Gold",Settings!$B$10,""))))</f>
        <v/>
      </c>
      <c r="G9" s="41" t="str">
        <f t="shared" si="0"/>
        <v/>
      </c>
      <c r="H9" s="42" t="str">
        <f>IF(OR(D9="",E9=""),"",E9/1000*Settings!$B$16*IF(D9="Diamond",Settings!$D$15,IF(D9="Platinum",Settings!$C$15,Settings!$B$15)))</f>
        <v/>
      </c>
      <c r="I9" s="41" t="str">
        <f>IF(OR(D9="",H9=""),"",H9*IF(D9="Diamond",Settings!$D$26,IF(D9="Platinum",Settings!$C$26,Settings!$B$26)))</f>
        <v/>
      </c>
      <c r="J9" s="41">
        <f t="shared" si="1"/>
        <v>0</v>
      </c>
      <c r="K9" s="66">
        <f t="shared" si="2"/>
        <v>0</v>
      </c>
    </row>
    <row r="10" spans="1:11" ht="19.5" customHeight="1">
      <c r="A10" s="35">
        <v>5</v>
      </c>
      <c r="B10" s="31"/>
      <c r="C10" s="64"/>
      <c r="D10" s="64"/>
      <c r="E10" s="40"/>
      <c r="F10" s="65" t="str">
        <f>IF(C10="","",IF(C10="Diamond",Settings!$D$10,IF(C10="Platinum",Settings!$C$10,IF(C10="Gold",Settings!$B$10,""))))</f>
        <v/>
      </c>
      <c r="G10" s="41" t="str">
        <f t="shared" si="0"/>
        <v/>
      </c>
      <c r="H10" s="42" t="str">
        <f>IF(OR(D10="",E10=""),"",E10/1000*Settings!$B$16*IF(D10="Diamond",Settings!$D$15,IF(D10="Platinum",Settings!$C$15,Settings!$B$15)))</f>
        <v/>
      </c>
      <c r="I10" s="41" t="str">
        <f>IF(OR(D10="",H10=""),"",H10*IF(D10="Diamond",Settings!$D$26,IF(D10="Platinum",Settings!$C$26,Settings!$B$26)))</f>
        <v/>
      </c>
      <c r="J10" s="41">
        <f t="shared" si="1"/>
        <v>0</v>
      </c>
      <c r="K10" s="66">
        <f t="shared" si="2"/>
        <v>0</v>
      </c>
    </row>
    <row r="11" spans="1:11" ht="19.5" customHeight="1">
      <c r="A11" s="35">
        <v>6</v>
      </c>
      <c r="B11" s="31"/>
      <c r="C11" s="64"/>
      <c r="D11" s="64"/>
      <c r="E11" s="40"/>
      <c r="F11" s="65" t="str">
        <f>IF(C11="","",IF(C11="Diamond",Settings!$D$10,IF(C11="Platinum",Settings!$C$10,IF(C11="Gold",Settings!$B$10,""))))</f>
        <v/>
      </c>
      <c r="G11" s="41" t="str">
        <f t="shared" si="0"/>
        <v/>
      </c>
      <c r="H11" s="42" t="str">
        <f>IF(OR(D11="",E11=""),"",E11/1000*Settings!$B$16*IF(D11="Diamond",Settings!$D$15,IF(D11="Platinum",Settings!$C$15,Settings!$B$15)))</f>
        <v/>
      </c>
      <c r="I11" s="41" t="str">
        <f>IF(OR(D11="",H11=""),"",H11*IF(D11="Diamond",Settings!$D$26,IF(D11="Platinum",Settings!$C$26,Settings!$B$26)))</f>
        <v/>
      </c>
      <c r="J11" s="41">
        <f t="shared" si="1"/>
        <v>0</v>
      </c>
      <c r="K11" s="66">
        <f t="shared" si="2"/>
        <v>0</v>
      </c>
    </row>
    <row r="12" spans="1:11" ht="19.5" customHeight="1">
      <c r="A12" s="35">
        <v>7</v>
      </c>
      <c r="B12" s="31"/>
      <c r="C12" s="64"/>
      <c r="D12" s="64"/>
      <c r="E12" s="40"/>
      <c r="F12" s="65" t="str">
        <f>IF(C12="","",IF(C12="Diamond",Settings!$D$10,IF(C12="Platinum",Settings!$C$10,IF(C12="Gold",Settings!$B$10,""))))</f>
        <v/>
      </c>
      <c r="G12" s="41" t="str">
        <f t="shared" si="0"/>
        <v/>
      </c>
      <c r="H12" s="42" t="str">
        <f>IF(OR(D12="",E12=""),"",E12/1000*Settings!$B$16*IF(D12="Diamond",Settings!$D$15,IF(D12="Platinum",Settings!$C$15,Settings!$B$15)))</f>
        <v/>
      </c>
      <c r="I12" s="41" t="str">
        <f>IF(OR(D12="",H12=""),"",H12*IF(D12="Diamond",Settings!$D$26,IF(D12="Platinum",Settings!$C$26,Settings!$B$26)))</f>
        <v/>
      </c>
      <c r="J12" s="41">
        <f t="shared" si="1"/>
        <v>0</v>
      </c>
      <c r="K12" s="66">
        <f t="shared" si="2"/>
        <v>0</v>
      </c>
    </row>
    <row r="13" spans="1:11" ht="19.5" customHeight="1">
      <c r="A13" s="35">
        <v>8</v>
      </c>
      <c r="B13" s="31"/>
      <c r="C13" s="64"/>
      <c r="D13" s="64"/>
      <c r="E13" s="40"/>
      <c r="F13" s="65" t="str">
        <f>IF(C13="","",IF(C13="Diamond",Settings!$D$10,IF(C13="Platinum",Settings!$C$10,IF(C13="Gold",Settings!$B$10,""))))</f>
        <v/>
      </c>
      <c r="G13" s="41" t="str">
        <f t="shared" si="0"/>
        <v/>
      </c>
      <c r="H13" s="42" t="str">
        <f>IF(OR(D13="",E13=""),"",E13/1000*Settings!$B$16*IF(D13="Diamond",Settings!$D$15,IF(D13="Platinum",Settings!$C$15,Settings!$B$15)))</f>
        <v/>
      </c>
      <c r="I13" s="41" t="str">
        <f>IF(OR(D13="",H13=""),"",H13*IF(D13="Diamond",Settings!$D$26,IF(D13="Platinum",Settings!$C$26,Settings!$B$26)))</f>
        <v/>
      </c>
      <c r="J13" s="41">
        <f t="shared" si="1"/>
        <v>0</v>
      </c>
      <c r="K13" s="66">
        <f t="shared" si="2"/>
        <v>0</v>
      </c>
    </row>
    <row r="14" spans="1:11" ht="19.5" customHeight="1">
      <c r="A14" s="35">
        <v>9</v>
      </c>
      <c r="B14" s="31"/>
      <c r="C14" s="64"/>
      <c r="D14" s="64"/>
      <c r="E14" s="40"/>
      <c r="F14" s="65" t="str">
        <f>IF(C14="","",IF(C14="Diamond",Settings!$D$10,IF(C14="Platinum",Settings!$C$10,IF(C14="Gold",Settings!$B$10,""))))</f>
        <v/>
      </c>
      <c r="G14" s="41" t="str">
        <f t="shared" si="0"/>
        <v/>
      </c>
      <c r="H14" s="42" t="str">
        <f>IF(OR(D14="",E14=""),"",E14/1000*Settings!$B$16*IF(D14="Diamond",Settings!$D$15,IF(D14="Platinum",Settings!$C$15,Settings!$B$15)))</f>
        <v/>
      </c>
      <c r="I14" s="41" t="str">
        <f>IF(OR(D14="",H14=""),"",H14*IF(D14="Diamond",Settings!$D$26,IF(D14="Platinum",Settings!$C$26,Settings!$B$26)))</f>
        <v/>
      </c>
      <c r="J14" s="41">
        <f t="shared" si="1"/>
        <v>0</v>
      </c>
      <c r="K14" s="66">
        <f t="shared" si="2"/>
        <v>0</v>
      </c>
    </row>
    <row r="15" spans="1:11" ht="19.5" customHeight="1">
      <c r="A15" s="35">
        <v>10</v>
      </c>
      <c r="B15" s="31"/>
      <c r="C15" s="64"/>
      <c r="D15" s="64"/>
      <c r="E15" s="40"/>
      <c r="F15" s="65" t="str">
        <f>IF(C15="","",IF(C15="Diamond",Settings!$D$10,IF(C15="Platinum",Settings!$C$10,IF(C15="Gold",Settings!$B$10,""))))</f>
        <v/>
      </c>
      <c r="G15" s="41" t="str">
        <f t="shared" si="0"/>
        <v/>
      </c>
      <c r="H15" s="42" t="str">
        <f>IF(OR(D15="",E15=""),"",E15/1000*Settings!$B$16*IF(D15="Diamond",Settings!$D$15,IF(D15="Platinum",Settings!$C$15,Settings!$B$15)))</f>
        <v/>
      </c>
      <c r="I15" s="41" t="str">
        <f>IF(OR(D15="",H15=""),"",H15*IF(D15="Diamond",Settings!$D$26,IF(D15="Platinum",Settings!$C$26,Settings!$B$26)))</f>
        <v/>
      </c>
      <c r="J15" s="41">
        <f t="shared" si="1"/>
        <v>0</v>
      </c>
      <c r="K15" s="66">
        <f t="shared" si="2"/>
        <v>0</v>
      </c>
    </row>
    <row r="16" spans="1:11" ht="19.5" customHeight="1">
      <c r="A16" s="35">
        <v>11</v>
      </c>
      <c r="B16" s="31"/>
      <c r="C16" s="64"/>
      <c r="D16" s="64"/>
      <c r="E16" s="40"/>
      <c r="F16" s="65" t="str">
        <f>IF(C16="","",IF(C16="Diamond",Settings!$D$10,IF(C16="Platinum",Settings!$C$10,IF(C16="Gold",Settings!$B$10,""))))</f>
        <v/>
      </c>
      <c r="G16" s="41" t="str">
        <f t="shared" si="0"/>
        <v/>
      </c>
      <c r="H16" s="42" t="str">
        <f>IF(OR(D16="",E16=""),"",E16/1000*Settings!$B$16*IF(D16="Diamond",Settings!$D$15,IF(D16="Platinum",Settings!$C$15,Settings!$B$15)))</f>
        <v/>
      </c>
      <c r="I16" s="41" t="str">
        <f>IF(OR(D16="",H16=""),"",H16*IF(D16="Diamond",Settings!$D$26,IF(D16="Platinum",Settings!$C$26,Settings!$B$26)))</f>
        <v/>
      </c>
      <c r="J16" s="41">
        <f t="shared" si="1"/>
        <v>0</v>
      </c>
      <c r="K16" s="66">
        <f t="shared" si="2"/>
        <v>0</v>
      </c>
    </row>
    <row r="17" spans="1:11" ht="19.5" customHeight="1">
      <c r="A17" s="35">
        <v>12</v>
      </c>
      <c r="B17" s="31"/>
      <c r="C17" s="64"/>
      <c r="D17" s="64"/>
      <c r="E17" s="40"/>
      <c r="F17" s="65" t="str">
        <f>IF(C17="","",IF(C17="Diamond",Settings!$D$10,IF(C17="Platinum",Settings!$C$10,IF(C17="Gold",Settings!$B$10,""))))</f>
        <v/>
      </c>
      <c r="G17" s="41" t="str">
        <f t="shared" si="0"/>
        <v/>
      </c>
      <c r="H17" s="42" t="str">
        <f>IF(OR(D17="",E17=""),"",E17/1000*Settings!$B$16*IF(D17="Diamond",Settings!$D$15,IF(D17="Platinum",Settings!$C$15,Settings!$B$15)))</f>
        <v/>
      </c>
      <c r="I17" s="41" t="str">
        <f>IF(OR(D17="",H17=""),"",H17*IF(D17="Diamond",Settings!$D$26,IF(D17="Platinum",Settings!$C$26,Settings!$B$26)))</f>
        <v/>
      </c>
      <c r="J17" s="41">
        <f t="shared" si="1"/>
        <v>0</v>
      </c>
      <c r="K17" s="66">
        <f t="shared" si="2"/>
        <v>0</v>
      </c>
    </row>
    <row r="18" spans="1:11" ht="19.5" customHeight="1">
      <c r="A18" s="35">
        <v>13</v>
      </c>
      <c r="B18" s="31"/>
      <c r="C18" s="64"/>
      <c r="D18" s="64"/>
      <c r="E18" s="40"/>
      <c r="F18" s="65" t="str">
        <f>IF(C18="","",IF(C18="Diamond",Settings!$D$10,IF(C18="Platinum",Settings!$C$10,IF(C18="Gold",Settings!$B$10,""))))</f>
        <v/>
      </c>
      <c r="G18" s="41" t="str">
        <f t="shared" si="0"/>
        <v/>
      </c>
      <c r="H18" s="42" t="str">
        <f>IF(OR(D18="",E18=""),"",E18/1000*Settings!$B$16*IF(D18="Diamond",Settings!$D$15,IF(D18="Platinum",Settings!$C$15,Settings!$B$15)))</f>
        <v/>
      </c>
      <c r="I18" s="41" t="str">
        <f>IF(OR(D18="",H18=""),"",H18*IF(D18="Diamond",Settings!$D$26,IF(D18="Platinum",Settings!$C$26,Settings!$B$26)))</f>
        <v/>
      </c>
      <c r="J18" s="41">
        <f t="shared" si="1"/>
        <v>0</v>
      </c>
      <c r="K18" s="66">
        <f t="shared" si="2"/>
        <v>0</v>
      </c>
    </row>
    <row r="19" spans="1:11" ht="19.5" customHeight="1">
      <c r="A19" s="35">
        <v>14</v>
      </c>
      <c r="B19" s="31"/>
      <c r="C19" s="64"/>
      <c r="D19" s="64"/>
      <c r="E19" s="40"/>
      <c r="F19" s="65" t="str">
        <f>IF(C19="","",IF(C19="Diamond",Settings!$D$10,IF(C19="Platinum",Settings!$C$10,IF(C19="Gold",Settings!$B$10,""))))</f>
        <v/>
      </c>
      <c r="G19" s="41" t="str">
        <f t="shared" si="0"/>
        <v/>
      </c>
      <c r="H19" s="42" t="str">
        <f>IF(OR(D19="",E19=""),"",E19/1000*Settings!$B$16*IF(D19="Diamond",Settings!$D$15,IF(D19="Platinum",Settings!$C$15,Settings!$B$15)))</f>
        <v/>
      </c>
      <c r="I19" s="41" t="str">
        <f>IF(OR(D19="",H19=""),"",H19*IF(D19="Diamond",Settings!$D$26,IF(D19="Platinum",Settings!$C$26,Settings!$B$26)))</f>
        <v/>
      </c>
      <c r="J19" s="41">
        <f t="shared" si="1"/>
        <v>0</v>
      </c>
      <c r="K19" s="66">
        <f t="shared" si="2"/>
        <v>0</v>
      </c>
    </row>
    <row r="20" spans="1:11" ht="19.5" customHeight="1">
      <c r="A20" s="35">
        <v>15</v>
      </c>
      <c r="B20" s="31"/>
      <c r="C20" s="64"/>
      <c r="D20" s="64"/>
      <c r="E20" s="40"/>
      <c r="F20" s="65" t="str">
        <f>IF(C20="","",IF(C20="Diamond",Settings!$D$10,IF(C20="Platinum",Settings!$C$10,IF(C20="Gold",Settings!$B$10,""))))</f>
        <v/>
      </c>
      <c r="G20" s="41" t="str">
        <f t="shared" si="0"/>
        <v/>
      </c>
      <c r="H20" s="42" t="str">
        <f>IF(OR(D20="",E20=""),"",E20/1000*Settings!$B$16*IF(D20="Diamond",Settings!$D$15,IF(D20="Platinum",Settings!$C$15,Settings!$B$15)))</f>
        <v/>
      </c>
      <c r="I20" s="41" t="str">
        <f>IF(OR(D20="",H20=""),"",H20*IF(D20="Diamond",Settings!$D$26,IF(D20="Platinum",Settings!$C$26,Settings!$B$26)))</f>
        <v/>
      </c>
      <c r="J20" s="41">
        <f t="shared" si="1"/>
        <v>0</v>
      </c>
      <c r="K20" s="66">
        <f t="shared" si="2"/>
        <v>0</v>
      </c>
    </row>
    <row r="21" spans="1:11" ht="19.5" customHeight="1">
      <c r="A21" s="35">
        <v>16</v>
      </c>
      <c r="B21" s="31"/>
      <c r="C21" s="64"/>
      <c r="D21" s="64"/>
      <c r="E21" s="40"/>
      <c r="F21" s="65" t="str">
        <f>IF(C21="","",IF(C21="Diamond",Settings!$D$10,IF(C21="Platinum",Settings!$C$10,IF(C21="Gold",Settings!$B$10,""))))</f>
        <v/>
      </c>
      <c r="G21" s="41" t="str">
        <f t="shared" si="0"/>
        <v/>
      </c>
      <c r="H21" s="42" t="str">
        <f>IF(OR(D21="",E21=""),"",E21/1000*Settings!$B$16*IF(D21="Diamond",Settings!$D$15,IF(D21="Platinum",Settings!$C$15,Settings!$B$15)))</f>
        <v/>
      </c>
      <c r="I21" s="41" t="str">
        <f>IF(OR(D21="",H21=""),"",H21*IF(D21="Diamond",Settings!$D$26,IF(D21="Platinum",Settings!$C$26,Settings!$B$26)))</f>
        <v/>
      </c>
      <c r="J21" s="41">
        <f t="shared" si="1"/>
        <v>0</v>
      </c>
      <c r="K21" s="66">
        <f t="shared" si="2"/>
        <v>0</v>
      </c>
    </row>
    <row r="22" spans="1:11" ht="19.5" customHeight="1">
      <c r="A22" s="35">
        <v>17</v>
      </c>
      <c r="B22" s="31"/>
      <c r="C22" s="64"/>
      <c r="D22" s="64"/>
      <c r="E22" s="40"/>
      <c r="F22" s="65" t="str">
        <f>IF(C22="","",IF(C22="Diamond",Settings!$D$10,IF(C22="Platinum",Settings!$C$10,IF(C22="Gold",Settings!$B$10,""))))</f>
        <v/>
      </c>
      <c r="G22" s="41" t="str">
        <f t="shared" si="0"/>
        <v/>
      </c>
      <c r="H22" s="42" t="str">
        <f>IF(OR(D22="",E22=""),"",E22/1000*Settings!$B$16*IF(D22="Diamond",Settings!$D$15,IF(D22="Platinum",Settings!$C$15,Settings!$B$15)))</f>
        <v/>
      </c>
      <c r="I22" s="41" t="str">
        <f>IF(OR(D22="",H22=""),"",H22*IF(D22="Diamond",Settings!$D$26,IF(D22="Platinum",Settings!$C$26,Settings!$B$26)))</f>
        <v/>
      </c>
      <c r="J22" s="41">
        <f t="shared" si="1"/>
        <v>0</v>
      </c>
      <c r="K22" s="66">
        <f t="shared" si="2"/>
        <v>0</v>
      </c>
    </row>
    <row r="23" spans="1:11" ht="19.5" customHeight="1">
      <c r="A23" s="35">
        <v>18</v>
      </c>
      <c r="B23" s="31"/>
      <c r="C23" s="64"/>
      <c r="D23" s="64"/>
      <c r="E23" s="40"/>
      <c r="F23" s="65" t="str">
        <f>IF(C23="","",IF(C23="Diamond",Settings!$D$10,IF(C23="Platinum",Settings!$C$10,IF(C23="Gold",Settings!$B$10,""))))</f>
        <v/>
      </c>
      <c r="G23" s="41" t="str">
        <f t="shared" si="0"/>
        <v/>
      </c>
      <c r="H23" s="42" t="str">
        <f>IF(OR(D23="",E23=""),"",E23/1000*Settings!$B$16*IF(D23="Diamond",Settings!$D$15,IF(D23="Platinum",Settings!$C$15,Settings!$B$15)))</f>
        <v/>
      </c>
      <c r="I23" s="41" t="str">
        <f>IF(OR(D23="",H23=""),"",H23*IF(D23="Diamond",Settings!$D$26,IF(D23="Platinum",Settings!$C$26,Settings!$B$26)))</f>
        <v/>
      </c>
      <c r="J23" s="41">
        <f t="shared" si="1"/>
        <v>0</v>
      </c>
      <c r="K23" s="66">
        <f t="shared" si="2"/>
        <v>0</v>
      </c>
    </row>
    <row r="24" spans="1:11" ht="19.5" customHeight="1">
      <c r="A24" s="35">
        <v>19</v>
      </c>
      <c r="B24" s="31"/>
      <c r="C24" s="64"/>
      <c r="D24" s="64"/>
      <c r="E24" s="40"/>
      <c r="F24" s="65" t="str">
        <f>IF(C24="","",IF(C24="Diamond",Settings!$D$10,IF(C24="Platinum",Settings!$C$10,IF(C24="Gold",Settings!$B$10,""))))</f>
        <v/>
      </c>
      <c r="G24" s="41" t="str">
        <f t="shared" si="0"/>
        <v/>
      </c>
      <c r="H24" s="42" t="str">
        <f>IF(OR(D24="",E24=""),"",E24/1000*Settings!$B$16*IF(D24="Diamond",Settings!$D$15,IF(D24="Platinum",Settings!$C$15,Settings!$B$15)))</f>
        <v/>
      </c>
      <c r="I24" s="41" t="str">
        <f>IF(OR(D24="",H24=""),"",H24*IF(D24="Diamond",Settings!$D$26,IF(D24="Platinum",Settings!$C$26,Settings!$B$26)))</f>
        <v/>
      </c>
      <c r="J24" s="41">
        <f t="shared" si="1"/>
        <v>0</v>
      </c>
      <c r="K24" s="66">
        <f t="shared" si="2"/>
        <v>0</v>
      </c>
    </row>
    <row r="25" spans="1:11" ht="19.5" customHeight="1">
      <c r="A25" s="35">
        <v>20</v>
      </c>
      <c r="B25" s="31"/>
      <c r="C25" s="64"/>
      <c r="D25" s="64"/>
      <c r="E25" s="40"/>
      <c r="F25" s="65" t="str">
        <f>IF(C25="","",IF(C25="Diamond",Settings!$D$10,IF(C25="Platinum",Settings!$C$10,IF(C25="Gold",Settings!$B$10,""))))</f>
        <v/>
      </c>
      <c r="G25" s="41" t="str">
        <f t="shared" si="0"/>
        <v/>
      </c>
      <c r="H25" s="42" t="str">
        <f>IF(OR(D25="",E25=""),"",E25/1000*Settings!$B$16*IF(D25="Diamond",Settings!$D$15,IF(D25="Platinum",Settings!$C$15,Settings!$B$15)))</f>
        <v/>
      </c>
      <c r="I25" s="41" t="str">
        <f>IF(OR(D25="",H25=""),"",H25*IF(D25="Diamond",Settings!$D$26,IF(D25="Platinum",Settings!$C$26,Settings!$B$26)))</f>
        <v/>
      </c>
      <c r="J25" s="41">
        <f t="shared" si="1"/>
        <v>0</v>
      </c>
      <c r="K25" s="66">
        <f t="shared" si="2"/>
        <v>0</v>
      </c>
    </row>
    <row r="26" spans="1:11" ht="19.5" customHeight="1">
      <c r="A26" s="35">
        <v>21</v>
      </c>
      <c r="B26" s="31"/>
      <c r="C26" s="64"/>
      <c r="D26" s="64"/>
      <c r="E26" s="40"/>
      <c r="F26" s="65" t="str">
        <f>IF(C26="","",IF(C26="Diamond",Settings!$D$10,IF(C26="Platinum",Settings!$C$10,IF(C26="Gold",Settings!$B$10,""))))</f>
        <v/>
      </c>
      <c r="G26" s="41" t="str">
        <f t="shared" si="0"/>
        <v/>
      </c>
      <c r="H26" s="42" t="str">
        <f>IF(OR(D26="",E26=""),"",E26/1000*Settings!$B$16*IF(D26="Diamond",Settings!$D$15,IF(D26="Platinum",Settings!$C$15,Settings!$B$15)))</f>
        <v/>
      </c>
      <c r="I26" s="41" t="str">
        <f>IF(OR(D26="",H26=""),"",H26*IF(D26="Diamond",Settings!$D$26,IF(D26="Platinum",Settings!$C$26,Settings!$B$26)))</f>
        <v/>
      </c>
      <c r="J26" s="41">
        <f t="shared" si="1"/>
        <v>0</v>
      </c>
      <c r="K26" s="66">
        <f t="shared" si="2"/>
        <v>0</v>
      </c>
    </row>
    <row r="27" spans="1:11" ht="19.5" customHeight="1">
      <c r="A27" s="35">
        <v>22</v>
      </c>
      <c r="B27" s="31"/>
      <c r="C27" s="64"/>
      <c r="D27" s="64"/>
      <c r="E27" s="40"/>
      <c r="F27" s="65" t="str">
        <f>IF(C27="","",IF(C27="Diamond",Settings!$D$10,IF(C27="Platinum",Settings!$C$10,IF(C27="Gold",Settings!$B$10,""))))</f>
        <v/>
      </c>
      <c r="G27" s="41" t="str">
        <f t="shared" si="0"/>
        <v/>
      </c>
      <c r="H27" s="42" t="str">
        <f>IF(OR(D27="",E27=""),"",E27/1000*Settings!$B$16*IF(D27="Diamond",Settings!$D$15,IF(D27="Platinum",Settings!$C$15,Settings!$B$15)))</f>
        <v/>
      </c>
      <c r="I27" s="41" t="str">
        <f>IF(OR(D27="",H27=""),"",H27*IF(D27="Diamond",Settings!$D$26,IF(D27="Platinum",Settings!$C$26,Settings!$B$26)))</f>
        <v/>
      </c>
      <c r="J27" s="41">
        <f t="shared" si="1"/>
        <v>0</v>
      </c>
      <c r="K27" s="66">
        <f t="shared" si="2"/>
        <v>0</v>
      </c>
    </row>
    <row r="28" spans="1:11" ht="19.5" customHeight="1">
      <c r="A28" s="35">
        <v>23</v>
      </c>
      <c r="B28" s="31"/>
      <c r="C28" s="64"/>
      <c r="D28" s="64"/>
      <c r="E28" s="40"/>
      <c r="F28" s="65" t="str">
        <f>IF(C28="","",IF(C28="Diamond",Settings!$D$10,IF(C28="Platinum",Settings!$C$10,IF(C28="Gold",Settings!$B$10,""))))</f>
        <v/>
      </c>
      <c r="G28" s="41" t="str">
        <f t="shared" si="0"/>
        <v/>
      </c>
      <c r="H28" s="42" t="str">
        <f>IF(OR(D28="",E28=""),"",E28/1000*Settings!$B$16*IF(D28="Diamond",Settings!$D$15,IF(D28="Platinum",Settings!$C$15,Settings!$B$15)))</f>
        <v/>
      </c>
      <c r="I28" s="41" t="str">
        <f>IF(OR(D28="",H28=""),"",H28*IF(D28="Diamond",Settings!$D$26,IF(D28="Platinum",Settings!$C$26,Settings!$B$26)))</f>
        <v/>
      </c>
      <c r="J28" s="41">
        <f t="shared" si="1"/>
        <v>0</v>
      </c>
      <c r="K28" s="66">
        <f t="shared" si="2"/>
        <v>0</v>
      </c>
    </row>
    <row r="29" spans="1:11" ht="19.5" customHeight="1">
      <c r="A29" s="35">
        <v>24</v>
      </c>
      <c r="B29" s="31"/>
      <c r="C29" s="64"/>
      <c r="D29" s="64"/>
      <c r="E29" s="40"/>
      <c r="F29" s="65" t="str">
        <f>IF(C29="","",IF(C29="Diamond",Settings!$D$10,IF(C29="Platinum",Settings!$C$10,IF(C29="Gold",Settings!$B$10,""))))</f>
        <v/>
      </c>
      <c r="G29" s="41" t="str">
        <f t="shared" si="0"/>
        <v/>
      </c>
      <c r="H29" s="42" t="str">
        <f>IF(OR(D29="",E29=""),"",E29/1000*Settings!$B$16*IF(D29="Diamond",Settings!$D$15,IF(D29="Platinum",Settings!$C$15,Settings!$B$15)))</f>
        <v/>
      </c>
      <c r="I29" s="41" t="str">
        <f>IF(OR(D29="",H29=""),"",H29*IF(D29="Diamond",Settings!$D$26,IF(D29="Platinum",Settings!$C$26,Settings!$B$26)))</f>
        <v/>
      </c>
      <c r="J29" s="41">
        <f t="shared" si="1"/>
        <v>0</v>
      </c>
      <c r="K29" s="66">
        <f t="shared" si="2"/>
        <v>0</v>
      </c>
    </row>
    <row r="30" spans="1:11" ht="19.5" customHeight="1">
      <c r="A30" s="35">
        <v>25</v>
      </c>
      <c r="B30" s="31"/>
      <c r="C30" s="64"/>
      <c r="D30" s="64"/>
      <c r="E30" s="40"/>
      <c r="F30" s="65" t="str">
        <f>IF(C30="","",IF(C30="Diamond",Settings!$D$10,IF(C30="Platinum",Settings!$C$10,IF(C30="Gold",Settings!$B$10,""))))</f>
        <v/>
      </c>
      <c r="G30" s="41" t="str">
        <f t="shared" si="0"/>
        <v/>
      </c>
      <c r="H30" s="42" t="str">
        <f>IF(OR(D30="",E30=""),"",E30/1000*Settings!$B$16*IF(D30="Diamond",Settings!$D$15,IF(D30="Platinum",Settings!$C$15,Settings!$B$15)))</f>
        <v/>
      </c>
      <c r="I30" s="41" t="str">
        <f>IF(OR(D30="",H30=""),"",H30*IF(D30="Diamond",Settings!$D$26,IF(D30="Platinum",Settings!$C$26,Settings!$B$26)))</f>
        <v/>
      </c>
      <c r="J30" s="41">
        <f t="shared" si="1"/>
        <v>0</v>
      </c>
      <c r="K30" s="66">
        <f t="shared" si="2"/>
        <v>0</v>
      </c>
    </row>
    <row r="31" spans="1:11" ht="19.5" customHeight="1">
      <c r="A31" s="35">
        <v>26</v>
      </c>
      <c r="B31" s="31"/>
      <c r="C31" s="64"/>
      <c r="D31" s="64"/>
      <c r="E31" s="40"/>
      <c r="F31" s="65" t="str">
        <f>IF(C31="","",IF(C31="Diamond",Settings!$D$10,IF(C31="Platinum",Settings!$C$10,IF(C31="Gold",Settings!$B$10,""))))</f>
        <v/>
      </c>
      <c r="G31" s="41" t="str">
        <f t="shared" si="0"/>
        <v/>
      </c>
      <c r="H31" s="42" t="str">
        <f>IF(OR(D31="",E31=""),"",E31/1000*Settings!$B$16*IF(D31="Diamond",Settings!$D$15,IF(D31="Platinum",Settings!$C$15,Settings!$B$15)))</f>
        <v/>
      </c>
      <c r="I31" s="41" t="str">
        <f>IF(OR(D31="",H31=""),"",H31*IF(D31="Diamond",Settings!$D$26,IF(D31="Platinum",Settings!$C$26,Settings!$B$26)))</f>
        <v/>
      </c>
      <c r="J31" s="41">
        <f t="shared" si="1"/>
        <v>0</v>
      </c>
      <c r="K31" s="66">
        <f t="shared" si="2"/>
        <v>0</v>
      </c>
    </row>
    <row r="32" spans="1:11" ht="19.5" customHeight="1">
      <c r="A32" s="35">
        <v>27</v>
      </c>
      <c r="B32" s="31"/>
      <c r="C32" s="64"/>
      <c r="D32" s="64"/>
      <c r="E32" s="40"/>
      <c r="F32" s="65" t="str">
        <f>IF(C32="","",IF(C32="Diamond",Settings!$D$10,IF(C32="Platinum",Settings!$C$10,IF(C32="Gold",Settings!$B$10,""))))</f>
        <v/>
      </c>
      <c r="G32" s="41" t="str">
        <f t="shared" si="0"/>
        <v/>
      </c>
      <c r="H32" s="42" t="str">
        <f>IF(OR(D32="",E32=""),"",E32/1000*Settings!$B$16*IF(D32="Diamond",Settings!$D$15,IF(D32="Platinum",Settings!$C$15,Settings!$B$15)))</f>
        <v/>
      </c>
      <c r="I32" s="41" t="str">
        <f>IF(OR(D32="",H32=""),"",H32*IF(D32="Diamond",Settings!$D$26,IF(D32="Platinum",Settings!$C$26,Settings!$B$26)))</f>
        <v/>
      </c>
      <c r="J32" s="41">
        <f t="shared" si="1"/>
        <v>0</v>
      </c>
      <c r="K32" s="66">
        <f t="shared" si="2"/>
        <v>0</v>
      </c>
    </row>
    <row r="33" spans="1:11" ht="19.5" customHeight="1">
      <c r="A33" s="35">
        <v>28</v>
      </c>
      <c r="B33" s="31"/>
      <c r="C33" s="64"/>
      <c r="D33" s="64"/>
      <c r="E33" s="40"/>
      <c r="F33" s="65" t="str">
        <f>IF(C33="","",IF(C33="Diamond",Settings!$D$10,IF(C33="Platinum",Settings!$C$10,IF(C33="Gold",Settings!$B$10,""))))</f>
        <v/>
      </c>
      <c r="G33" s="41" t="str">
        <f t="shared" si="0"/>
        <v/>
      </c>
      <c r="H33" s="42" t="str">
        <f>IF(OR(D33="",E33=""),"",E33/1000*Settings!$B$16*IF(D33="Diamond",Settings!$D$15,IF(D33="Platinum",Settings!$C$15,Settings!$B$15)))</f>
        <v/>
      </c>
      <c r="I33" s="41" t="str">
        <f>IF(OR(D33="",H33=""),"",H33*IF(D33="Diamond",Settings!$D$26,IF(D33="Platinum",Settings!$C$26,Settings!$B$26)))</f>
        <v/>
      </c>
      <c r="J33" s="41">
        <f t="shared" si="1"/>
        <v>0</v>
      </c>
      <c r="K33" s="66">
        <f t="shared" si="2"/>
        <v>0</v>
      </c>
    </row>
    <row r="34" spans="1:11" ht="19.5" customHeight="1">
      <c r="A34" s="35">
        <v>29</v>
      </c>
      <c r="B34" s="31"/>
      <c r="C34" s="64"/>
      <c r="D34" s="64"/>
      <c r="E34" s="40"/>
      <c r="F34" s="65" t="str">
        <f>IF(C34="","",IF(C34="Diamond",Settings!$D$10,IF(C34="Platinum",Settings!$C$10,IF(C34="Gold",Settings!$B$10,""))))</f>
        <v/>
      </c>
      <c r="G34" s="41" t="str">
        <f t="shared" si="0"/>
        <v/>
      </c>
      <c r="H34" s="42" t="str">
        <f>IF(OR(D34="",E34=""),"",E34/1000*Settings!$B$16*IF(D34="Diamond",Settings!$D$15,IF(D34="Platinum",Settings!$C$15,Settings!$B$15)))</f>
        <v/>
      </c>
      <c r="I34" s="41" t="str">
        <f>IF(OR(D34="",H34=""),"",H34*IF(D34="Diamond",Settings!$D$26,IF(D34="Platinum",Settings!$C$26,Settings!$B$26)))</f>
        <v/>
      </c>
      <c r="J34" s="41">
        <f t="shared" si="1"/>
        <v>0</v>
      </c>
      <c r="K34" s="66">
        <f t="shared" si="2"/>
        <v>0</v>
      </c>
    </row>
    <row r="35" spans="1:11" ht="19.5" customHeight="1">
      <c r="A35" s="35">
        <v>30</v>
      </c>
      <c r="B35" s="31"/>
      <c r="C35" s="64"/>
      <c r="D35" s="64"/>
      <c r="E35" s="40"/>
      <c r="F35" s="65" t="str">
        <f>IF(C35="","",IF(C35="Diamond",Settings!$D$10,IF(C35="Platinum",Settings!$C$10,IF(C35="Gold",Settings!$B$10,""))))</f>
        <v/>
      </c>
      <c r="G35" s="41" t="str">
        <f t="shared" si="0"/>
        <v/>
      </c>
      <c r="H35" s="42" t="str">
        <f>IF(OR(D35="",E35=""),"",E35/1000*Settings!$B$16*IF(D35="Diamond",Settings!$D$15,IF(D35="Platinum",Settings!$C$15,Settings!$B$15)))</f>
        <v/>
      </c>
      <c r="I35" s="41" t="str">
        <f>IF(OR(D35="",H35=""),"",H35*IF(D35="Diamond",Settings!$D$26,IF(D35="Platinum",Settings!$C$26,Settings!$B$26)))</f>
        <v/>
      </c>
      <c r="J35" s="41">
        <f t="shared" si="1"/>
        <v>0</v>
      </c>
      <c r="K35" s="66">
        <f t="shared" si="2"/>
        <v>0</v>
      </c>
    </row>
    <row r="36" spans="1:11" ht="24" customHeight="1"/>
    <row r="37" spans="1:11">
      <c r="A37" s="38" t="s">
        <v>120</v>
      </c>
      <c r="B37" s="38"/>
      <c r="C37" s="38"/>
      <c r="D37" s="38"/>
      <c r="E37" s="45">
        <f>SUM(E6:E35)</f>
        <v>0</v>
      </c>
      <c r="F37" s="38"/>
      <c r="G37" s="45">
        <f>SUM(G6:G35)</f>
        <v>0</v>
      </c>
      <c r="H37" s="46">
        <f>SUM(H6:H35)</f>
        <v>0</v>
      </c>
      <c r="I37" s="45">
        <f>SUM(I6:I35)</f>
        <v>0</v>
      </c>
      <c r="J37" s="45">
        <f>SUM(J6:J35)</f>
        <v>0</v>
      </c>
      <c r="K37" s="67">
        <f>IFERROR(J37/E37,0)</f>
        <v>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6"/>
  <sheetViews>
    <sheetView workbookViewId="0">
      <pane ySplit="5" topLeftCell="A6" activePane="bottomLeft" state="frozen"/>
      <selection pane="bottomLeft" activeCell="J38" sqref="J38"/>
    </sheetView>
  </sheetViews>
  <sheetFormatPr defaultRowHeight="15"/>
  <cols>
    <col min="1" max="1" width="15.28515625" customWidth="1"/>
    <col min="2" max="2" width="30.42578125" customWidth="1"/>
    <col min="3" max="4" width="21" customWidth="1"/>
    <col min="5" max="5" width="19" customWidth="1"/>
    <col min="6" max="6" width="18.140625" customWidth="1"/>
    <col min="7" max="7" width="33.28515625" customWidth="1"/>
    <col min="8" max="8" width="19" customWidth="1"/>
    <col min="9" max="9" width="17.140625" customWidth="1"/>
    <col min="10" max="10" width="21" customWidth="1"/>
    <col min="11" max="11" width="22.85546875" customWidth="1"/>
    <col min="12" max="12" width="17.140625" customWidth="1"/>
    <col min="13" max="13" width="21" customWidth="1"/>
    <col min="14" max="15" width="17.140625" customWidth="1"/>
  </cols>
  <sheetData>
    <row r="1" spans="1:12" ht="23.25">
      <c r="A1" s="98" t="s">
        <v>121</v>
      </c>
    </row>
    <row r="2" spans="1:12">
      <c r="A2" s="80" t="s">
        <v>122</v>
      </c>
    </row>
    <row r="3" spans="1:12">
      <c r="A3" s="81" t="s">
        <v>123</v>
      </c>
    </row>
    <row r="5" spans="1:12">
      <c r="A5" s="97" t="s">
        <v>124</v>
      </c>
      <c r="B5" s="97" t="s">
        <v>125</v>
      </c>
      <c r="C5" s="97" t="s">
        <v>126</v>
      </c>
      <c r="D5" s="97" t="s">
        <v>127</v>
      </c>
      <c r="E5" s="97" t="s">
        <v>128</v>
      </c>
      <c r="F5" s="97" t="s">
        <v>129</v>
      </c>
      <c r="G5" s="97" t="s">
        <v>130</v>
      </c>
      <c r="H5" s="97" t="s">
        <v>131</v>
      </c>
      <c r="I5" s="97" t="s">
        <v>132</v>
      </c>
      <c r="J5" s="97" t="s">
        <v>133</v>
      </c>
      <c r="K5" s="97" t="s">
        <v>134</v>
      </c>
      <c r="L5" s="97" t="s">
        <v>135</v>
      </c>
    </row>
    <row r="6" spans="1:12">
      <c r="A6" s="89" t="s">
        <v>136</v>
      </c>
      <c r="B6" s="90" t="s">
        <v>137</v>
      </c>
      <c r="C6" s="99" t="s">
        <v>138</v>
      </c>
      <c r="D6" s="91" t="s">
        <v>139</v>
      </c>
      <c r="E6" s="91" t="s">
        <v>140</v>
      </c>
      <c r="F6" s="92">
        <v>45292</v>
      </c>
      <c r="G6" s="89" t="s">
        <v>141</v>
      </c>
      <c r="H6" s="93">
        <v>0.2</v>
      </c>
      <c r="I6" s="94" t="s">
        <v>142</v>
      </c>
      <c r="J6" s="103">
        <f>IF($A6="","",SUMIFS('Invoice Log'!$F:$F,'Invoice Log'!$C:$C,$A6,'Invoice Log'!$K:$K,"Confirmed"))</f>
        <v>2000000</v>
      </c>
      <c r="K6" s="103">
        <f>IF($A6="","",SUMIFS('Invoice Log'!$H:$H,'Invoice Log'!$C:$C,$A6,'Invoice Log'!$K:$K,"Confirmed"))</f>
        <v>400000</v>
      </c>
      <c r="L6" s="104">
        <f>IF(OR($A6="",J6="",J6=0),"",K6/J6)</f>
        <v>0.2</v>
      </c>
    </row>
    <row r="7" spans="1:12">
      <c r="A7" s="89" t="s">
        <v>143</v>
      </c>
      <c r="B7" s="83" t="s">
        <v>144</v>
      </c>
      <c r="C7" s="99" t="s">
        <v>145</v>
      </c>
      <c r="D7" s="91" t="s">
        <v>139</v>
      </c>
      <c r="E7" s="85" t="s">
        <v>146</v>
      </c>
      <c r="F7" s="86">
        <v>46148</v>
      </c>
      <c r="G7" s="84" t="s">
        <v>147</v>
      </c>
      <c r="H7" s="87"/>
      <c r="I7" s="88" t="s">
        <v>142</v>
      </c>
      <c r="J7" s="103">
        <f>IF($A7="","",SUMIFS('Invoice Log'!$F:$F,'Invoice Log'!$C:$C,$A7,'Invoice Log'!$K:$K,"Confirmed"))</f>
        <v>3000000</v>
      </c>
      <c r="K7" s="103">
        <f>IF($A7="","",SUMIFS('Invoice Log'!$H:$H,'Invoice Log'!$C:$C,$A7,'Invoice Log'!$K:$K,"Confirmed"))</f>
        <v>300000</v>
      </c>
      <c r="L7" s="104">
        <f t="shared" ref="L7:L18" si="0">IF(OR($A7="",J7="",J7=0),"",K7/J7)</f>
        <v>0.1</v>
      </c>
    </row>
    <row r="8" spans="1:12">
      <c r="A8" s="89"/>
      <c r="B8" s="90"/>
      <c r="C8" s="99"/>
      <c r="D8" s="91"/>
      <c r="E8" s="91"/>
      <c r="F8" s="92"/>
      <c r="G8" s="89"/>
      <c r="H8" s="93"/>
      <c r="I8" s="95"/>
      <c r="J8" s="103" t="str">
        <f>IF($A8="","",SUMIFS('Invoice Log'!$F:$F,'Invoice Log'!$C:$C,$A8,'Invoice Log'!$K:$K,"Confirmed"))</f>
        <v/>
      </c>
      <c r="K8" s="103" t="str">
        <f>IF($A8="","",SUMIFS('Invoice Log'!$H:$H,'Invoice Log'!$C:$C,$A8,'Invoice Log'!$K:$K,"Confirmed"))</f>
        <v/>
      </c>
      <c r="L8" s="104" t="str">
        <f t="shared" si="0"/>
        <v/>
      </c>
    </row>
    <row r="9" spans="1:12">
      <c r="A9" s="84"/>
      <c r="B9" s="83"/>
      <c r="C9" s="100"/>
      <c r="D9" s="85"/>
      <c r="E9" s="85"/>
      <c r="F9" s="86"/>
      <c r="G9" s="84"/>
      <c r="H9" s="87"/>
      <c r="I9" s="88"/>
      <c r="J9" s="103" t="str">
        <f>IF($A9="","",SUMIFS('Invoice Log'!$F:$F,'Invoice Log'!$C:$C,$A9,'Invoice Log'!$K:$K,"Confirmed"))</f>
        <v/>
      </c>
      <c r="K9" s="103" t="str">
        <f>IF($A9="","",SUMIFS('Invoice Log'!$H:$H,'Invoice Log'!$C:$C,$A9,'Invoice Log'!$K:$K,"Confirmed"))</f>
        <v/>
      </c>
      <c r="L9" s="104" t="str">
        <f t="shared" si="0"/>
        <v/>
      </c>
    </row>
    <row r="10" spans="1:12">
      <c r="A10" s="89"/>
      <c r="B10" s="90"/>
      <c r="C10" s="99"/>
      <c r="D10" s="91"/>
      <c r="E10" s="91"/>
      <c r="F10" s="92"/>
      <c r="G10" s="89"/>
      <c r="H10" s="93"/>
      <c r="I10" s="95"/>
      <c r="J10" s="103" t="str">
        <f>IF($A10="","",SUMIFS('Invoice Log'!$F:$F,'Invoice Log'!$C:$C,$A10,'Invoice Log'!$K:$K,"Confirmed"))</f>
        <v/>
      </c>
      <c r="K10" s="103" t="str">
        <f>IF($A10="","",SUMIFS('Invoice Log'!$H:$H,'Invoice Log'!$C:$C,$A10,'Invoice Log'!$K:$K,"Confirmed"))</f>
        <v/>
      </c>
      <c r="L10" s="104" t="str">
        <f t="shared" si="0"/>
        <v/>
      </c>
    </row>
    <row r="11" spans="1:12">
      <c r="A11" s="84"/>
      <c r="B11" s="83"/>
      <c r="C11" s="100"/>
      <c r="D11" s="85"/>
      <c r="E11" s="85"/>
      <c r="F11" s="86"/>
      <c r="G11" s="84"/>
      <c r="H11" s="87"/>
      <c r="I11" s="88"/>
      <c r="J11" s="103" t="str">
        <f>IF($A11="","",SUMIFS('Invoice Log'!$F:$F,'Invoice Log'!$C:$C,$A11,'Invoice Log'!$K:$K,"Confirmed"))</f>
        <v/>
      </c>
      <c r="K11" s="103" t="str">
        <f>IF($A11="","",SUMIFS('Invoice Log'!$H:$H,'Invoice Log'!$C:$C,$A11,'Invoice Log'!$K:$K,"Confirmed"))</f>
        <v/>
      </c>
      <c r="L11" s="104" t="str">
        <f t="shared" si="0"/>
        <v/>
      </c>
    </row>
    <row r="12" spans="1:12">
      <c r="A12" s="89"/>
      <c r="B12" s="90"/>
      <c r="C12" s="99"/>
      <c r="D12" s="91"/>
      <c r="E12" s="91"/>
      <c r="F12" s="92"/>
      <c r="G12" s="89"/>
      <c r="H12" s="93"/>
      <c r="I12" s="95"/>
      <c r="J12" s="103" t="str">
        <f>IF($A12="","",SUMIFS('Invoice Log'!$F:$F,'Invoice Log'!$C:$C,$A12,'Invoice Log'!$K:$K,"Confirmed"))</f>
        <v/>
      </c>
      <c r="K12" s="103" t="str">
        <f>IF($A12="","",SUMIFS('Invoice Log'!$H:$H,'Invoice Log'!$C:$C,$A12,'Invoice Log'!$K:$K,"Confirmed"))</f>
        <v/>
      </c>
      <c r="L12" s="104" t="str">
        <f t="shared" si="0"/>
        <v/>
      </c>
    </row>
    <row r="13" spans="1:12">
      <c r="A13" s="84"/>
      <c r="B13" s="83"/>
      <c r="C13" s="100"/>
      <c r="D13" s="85"/>
      <c r="E13" s="85"/>
      <c r="F13" s="86"/>
      <c r="G13" s="84"/>
      <c r="H13" s="87"/>
      <c r="I13" s="88"/>
      <c r="J13" s="103" t="str">
        <f>IF($A13="","",SUMIFS('Invoice Log'!$F:$F,'Invoice Log'!$C:$C,$A13,'Invoice Log'!$K:$K,"Confirmed"))</f>
        <v/>
      </c>
      <c r="K13" s="103" t="str">
        <f>IF($A13="","",SUMIFS('Invoice Log'!$H:$H,'Invoice Log'!$C:$C,$A13,'Invoice Log'!$K:$K,"Confirmed"))</f>
        <v/>
      </c>
      <c r="L13" s="104" t="str">
        <f t="shared" si="0"/>
        <v/>
      </c>
    </row>
    <row r="14" spans="1:12">
      <c r="A14" s="89"/>
      <c r="B14" s="90"/>
      <c r="C14" s="99"/>
      <c r="D14" s="91"/>
      <c r="E14" s="91"/>
      <c r="F14" s="92"/>
      <c r="G14" s="89"/>
      <c r="H14" s="93"/>
      <c r="I14" s="95"/>
      <c r="J14" s="103" t="str">
        <f>IF($A14="","",SUMIFS('Invoice Log'!$F:$F,'Invoice Log'!$C:$C,$A14,'Invoice Log'!$K:$K,"Confirmed"))</f>
        <v/>
      </c>
      <c r="K14" s="103" t="str">
        <f>IF($A14="","",SUMIFS('Invoice Log'!$H:$H,'Invoice Log'!$C:$C,$A14,'Invoice Log'!$K:$K,"Confirmed"))</f>
        <v/>
      </c>
      <c r="L14" s="104" t="str">
        <f t="shared" si="0"/>
        <v/>
      </c>
    </row>
    <row r="15" spans="1:12">
      <c r="A15" s="84"/>
      <c r="B15" s="83"/>
      <c r="C15" s="100"/>
      <c r="D15" s="85"/>
      <c r="E15" s="85"/>
      <c r="F15" s="86"/>
      <c r="G15" s="84"/>
      <c r="H15" s="87"/>
      <c r="I15" s="88"/>
      <c r="J15" s="103" t="str">
        <f>IF($A15="","",SUMIFS('Invoice Log'!$F:$F,'Invoice Log'!$C:$C,$A15,'Invoice Log'!$K:$K,"Confirmed"))</f>
        <v/>
      </c>
      <c r="K15" s="103" t="str">
        <f>IF($A15="","",SUMIFS('Invoice Log'!$H:$H,'Invoice Log'!$C:$C,$A15,'Invoice Log'!$K:$K,"Confirmed"))</f>
        <v/>
      </c>
      <c r="L15" s="104" t="str">
        <f t="shared" si="0"/>
        <v/>
      </c>
    </row>
    <row r="16" spans="1:12">
      <c r="A16" s="89"/>
      <c r="B16" s="90"/>
      <c r="C16" s="99"/>
      <c r="D16" s="91"/>
      <c r="E16" s="91"/>
      <c r="F16" s="92"/>
      <c r="G16" s="89"/>
      <c r="H16" s="93"/>
      <c r="I16" s="95"/>
      <c r="J16" s="103" t="str">
        <f>IF($A16="","",SUMIFS('Invoice Log'!$F:$F,'Invoice Log'!$C:$C,$A16,'Invoice Log'!$K:$K,"Confirmed"))</f>
        <v/>
      </c>
      <c r="K16" s="103" t="str">
        <f>IF($A16="","",SUMIFS('Invoice Log'!$H:$H,'Invoice Log'!$C:$C,$A16,'Invoice Log'!$K:$K,"Confirmed"))</f>
        <v/>
      </c>
      <c r="L16" s="104" t="str">
        <f t="shared" si="0"/>
        <v/>
      </c>
    </row>
    <row r="17" spans="1:12">
      <c r="A17" s="84"/>
      <c r="B17" s="83"/>
      <c r="C17" s="100"/>
      <c r="D17" s="85"/>
      <c r="E17" s="85"/>
      <c r="F17" s="86"/>
      <c r="G17" s="84"/>
      <c r="H17" s="87"/>
      <c r="I17" s="88"/>
      <c r="J17" s="103" t="str">
        <f>IF($A17="","",SUMIFS('Invoice Log'!$F:$F,'Invoice Log'!$C:$C,$A17,'Invoice Log'!$K:$K,"Confirmed"))</f>
        <v/>
      </c>
      <c r="K17" s="103" t="str">
        <f>IF($A17="","",SUMIFS('Invoice Log'!$H:$H,'Invoice Log'!$C:$C,$A17,'Invoice Log'!$K:$K,"Confirmed"))</f>
        <v/>
      </c>
      <c r="L17" s="104" t="str">
        <f t="shared" si="0"/>
        <v/>
      </c>
    </row>
    <row r="18" spans="1:12">
      <c r="A18" s="89"/>
      <c r="B18" s="90"/>
      <c r="C18" s="99"/>
      <c r="D18" s="91"/>
      <c r="E18" s="91"/>
      <c r="F18" s="92"/>
      <c r="G18" s="89"/>
      <c r="H18" s="93"/>
      <c r="I18" s="95"/>
      <c r="J18" s="103" t="str">
        <f>IF($A18="","",SUMIFS('Invoice Log'!$F:$F,'Invoice Log'!$C:$C,$A18,'Invoice Log'!$K:$K,"Confirmed"))</f>
        <v/>
      </c>
      <c r="K18" s="103" t="str">
        <f>IF($A18="","",SUMIFS('Invoice Log'!$H:$H,'Invoice Log'!$C:$C,$A18,'Invoice Log'!$K:$K,"Confirmed"))</f>
        <v/>
      </c>
      <c r="L18" s="104" t="str">
        <f t="shared" si="0"/>
        <v/>
      </c>
    </row>
    <row r="19" spans="1:12">
      <c r="A19" s="84"/>
      <c r="B19" s="83"/>
      <c r="C19" s="100"/>
      <c r="D19" s="85"/>
      <c r="E19" s="85"/>
      <c r="F19" s="86"/>
      <c r="G19" s="84"/>
      <c r="H19" s="87"/>
      <c r="I19" s="88"/>
      <c r="J19" s="103" t="str">
        <f>IF($A19="","",SUMIFS('Invoice Log'!$F:$F,'Invoice Log'!$C:$C,$A19,'Invoice Log'!$K:$K,"Confirmed"))</f>
        <v/>
      </c>
      <c r="K19" s="103" t="str">
        <f>IF($A19="","",SUMIFS('Invoice Log'!$H:$H,'Invoice Log'!$C:$C,$A19,'Invoice Log'!$K:$K,"Confirmed"))</f>
        <v/>
      </c>
    </row>
    <row r="20" spans="1:12">
      <c r="A20" s="89"/>
      <c r="B20" s="90"/>
      <c r="C20" s="99"/>
      <c r="D20" s="91"/>
      <c r="E20" s="91"/>
      <c r="F20" s="92"/>
      <c r="G20" s="89"/>
      <c r="H20" s="93"/>
      <c r="I20" s="95"/>
      <c r="J20" s="115" t="str">
        <f>IF($B20="","",IFERROR(_xlfn.XLOOKUP($B20,Members!$C:$C,Members!$G:$G),""))</f>
        <v/>
      </c>
      <c r="K20" s="103" t="str">
        <f>IF($A20="","",SUMIFS('Invoice Log'!$H:$H,'Invoice Log'!$C:$C,$A20,'Invoice Log'!$K:$K,"Confirmed"))</f>
        <v/>
      </c>
      <c r="L20" s="105"/>
    </row>
    <row r="21" spans="1:12">
      <c r="A21" s="84"/>
      <c r="B21" s="83"/>
      <c r="C21" s="100"/>
      <c r="D21" s="85"/>
      <c r="E21" s="85"/>
      <c r="F21" s="86"/>
      <c r="G21" s="84"/>
      <c r="H21" s="87"/>
      <c r="I21" s="88"/>
      <c r="J21" s="115" t="str">
        <f>IF($B21="","",IFERROR(_xlfn.XLOOKUP($B21,Members!$C:$C,Members!$G:$G),""))</f>
        <v/>
      </c>
      <c r="K21" s="103" t="str">
        <f>IF($A21="","",SUMIFS('Invoice Log'!$H:$H,'Invoice Log'!$C:$C,$A21,'Invoice Log'!$K:$K,"Confirmed"))</f>
        <v/>
      </c>
    </row>
    <row r="22" spans="1:12">
      <c r="A22" s="89"/>
      <c r="B22" s="90"/>
      <c r="C22" s="99"/>
      <c r="D22" s="91"/>
      <c r="E22" s="91"/>
      <c r="F22" s="92"/>
      <c r="G22" s="89"/>
      <c r="H22" s="93"/>
      <c r="I22" s="95"/>
      <c r="J22" s="115" t="str">
        <f>IF($B22="","",IFERROR(_xlfn.XLOOKUP($B22,Members!$C:$C,Members!$G:$G),""))</f>
        <v/>
      </c>
      <c r="K22" s="103" t="str">
        <f>IF($A22="","",SUMIFS('Invoice Log'!$H:$H,'Invoice Log'!$C:$C,$A22,'Invoice Log'!$K:$K,"Confirmed"))</f>
        <v/>
      </c>
      <c r="L22" s="105"/>
    </row>
    <row r="23" spans="1:12">
      <c r="A23" s="84"/>
      <c r="B23" s="83"/>
      <c r="C23" s="100"/>
      <c r="D23" s="85"/>
      <c r="E23" s="85"/>
      <c r="F23" s="86"/>
      <c r="G23" s="84"/>
      <c r="H23" s="87"/>
      <c r="I23" s="88"/>
      <c r="J23" s="115" t="str">
        <f>IF($B23="","",IFERROR(_xlfn.XLOOKUP($B23,Members!$C:$C,Members!$G:$G),""))</f>
        <v/>
      </c>
      <c r="K23" s="103" t="str">
        <f>IF($A23="","",SUMIFS('Invoice Log'!$H:$H,'Invoice Log'!$C:$C,$A23,'Invoice Log'!$K:$K,"Confirmed"))</f>
        <v/>
      </c>
    </row>
    <row r="24" spans="1:12">
      <c r="A24" s="89"/>
      <c r="B24" s="90"/>
      <c r="C24" s="99"/>
      <c r="D24" s="91"/>
      <c r="E24" s="91"/>
      <c r="F24" s="92"/>
      <c r="G24" s="89"/>
      <c r="H24" s="93"/>
      <c r="I24" s="95"/>
      <c r="J24" s="115" t="str">
        <f>IF($B24="","",IFERROR(_xlfn.XLOOKUP($B24,Members!$C:$C,Members!$G:$G),""))</f>
        <v/>
      </c>
      <c r="K24" s="103" t="str">
        <f>IF($A24="","",SUMIFS('Invoice Log'!$H:$H,'Invoice Log'!$C:$C,$A24,'Invoice Log'!$K:$K,"Confirmed"))</f>
        <v/>
      </c>
      <c r="L24" s="105"/>
    </row>
    <row r="25" spans="1:12">
      <c r="A25" s="84"/>
      <c r="B25" s="83"/>
      <c r="C25" s="100"/>
      <c r="D25" s="85"/>
      <c r="E25" s="85"/>
      <c r="F25" s="86"/>
      <c r="G25" s="84"/>
      <c r="H25" s="87"/>
      <c r="I25" s="88"/>
      <c r="J25" s="115" t="str">
        <f>IF($B25="","",IFERROR(_xlfn.XLOOKUP($B25,Members!$C:$C,Members!$G:$G),""))</f>
        <v/>
      </c>
      <c r="K25" s="103" t="str">
        <f>IF($A25="","",SUMIFS('Invoice Log'!$H:$H,'Invoice Log'!$C:$C,$A25,'Invoice Log'!$K:$K,"Confirmed"))</f>
        <v/>
      </c>
    </row>
    <row r="26" spans="1:12">
      <c r="A26" s="89"/>
      <c r="B26" s="90"/>
      <c r="C26" s="99"/>
      <c r="D26" s="91"/>
      <c r="E26" s="91"/>
      <c r="F26" s="92"/>
      <c r="G26" s="89"/>
      <c r="H26" s="93"/>
      <c r="I26" s="95"/>
      <c r="J26" s="115" t="str">
        <f>IF($B26="","",IFERROR(_xlfn.XLOOKUP($B26,Members!$C:$C,Members!$G:$G),""))</f>
        <v/>
      </c>
      <c r="K26" s="91" t="s">
        <v>148</v>
      </c>
      <c r="L26" s="105"/>
    </row>
    <row r="27" spans="1:12">
      <c r="A27" s="84"/>
      <c r="B27" s="83"/>
      <c r="C27" s="100"/>
      <c r="D27" s="85"/>
      <c r="E27" s="85"/>
      <c r="F27" s="86"/>
      <c r="G27" s="84"/>
      <c r="H27" s="87"/>
      <c r="I27" s="88"/>
      <c r="J27" s="115" t="str">
        <f>IF($B27="","",IFERROR(_xlfn.XLOOKUP($B27,Members!$C:$C,Members!$G:$G),""))</f>
        <v/>
      </c>
      <c r="K27" s="91" t="s">
        <v>148</v>
      </c>
    </row>
    <row r="28" spans="1:12">
      <c r="A28" s="89"/>
      <c r="B28" s="90"/>
      <c r="C28" s="99"/>
      <c r="D28" s="91"/>
      <c r="E28" s="91"/>
      <c r="F28" s="92"/>
      <c r="G28" s="89"/>
      <c r="H28" s="93"/>
      <c r="I28" s="95"/>
      <c r="J28" s="115" t="str">
        <f>IF($B28="","",IFERROR(_xlfn.XLOOKUP($B28,Members!$C:$C,Members!$G:$G),""))</f>
        <v/>
      </c>
      <c r="K28" s="91" t="s">
        <v>148</v>
      </c>
      <c r="L28" s="105"/>
    </row>
    <row r="29" spans="1:12">
      <c r="A29" s="84"/>
      <c r="B29" s="83"/>
      <c r="C29" s="100"/>
      <c r="D29" s="85"/>
      <c r="E29" s="85"/>
      <c r="F29" s="86"/>
      <c r="G29" s="84"/>
      <c r="H29" s="87"/>
      <c r="I29" s="88"/>
      <c r="J29" s="115" t="str">
        <f>IF($B29="","",IFERROR(_xlfn.XLOOKUP($B29,Members!$C:$C,Members!$G:$G),""))</f>
        <v/>
      </c>
      <c r="K29" s="91" t="s">
        <v>148</v>
      </c>
    </row>
    <row r="30" spans="1:12">
      <c r="A30" s="89"/>
      <c r="B30" s="90"/>
      <c r="C30" s="99"/>
      <c r="D30" s="91"/>
      <c r="E30" s="91"/>
      <c r="F30" s="92"/>
      <c r="G30" s="89"/>
      <c r="H30" s="93"/>
      <c r="I30" s="95"/>
      <c r="J30" s="115" t="str">
        <f>IF($B30="","",IFERROR(_xlfn.XLOOKUP($B30,Members!$C:$C,Members!$G:$G),""))</f>
        <v/>
      </c>
      <c r="K30" s="91" t="s">
        <v>148</v>
      </c>
      <c r="L30" s="105"/>
    </row>
    <row r="31" spans="1:12">
      <c r="A31" s="84"/>
      <c r="B31" s="83"/>
      <c r="C31" s="100"/>
      <c r="D31" s="85"/>
      <c r="E31" s="85"/>
      <c r="F31" s="86"/>
      <c r="G31" s="84"/>
      <c r="H31" s="87"/>
      <c r="I31" s="88"/>
      <c r="J31" s="115" t="str">
        <f>IF($B31="","",IFERROR(_xlfn.XLOOKUP($B31,Members!$C:$C,Members!$G:$G),""))</f>
        <v/>
      </c>
      <c r="K31" s="91" t="s">
        <v>148</v>
      </c>
    </row>
    <row r="32" spans="1:12">
      <c r="A32" s="89"/>
      <c r="B32" s="90"/>
      <c r="C32" s="99"/>
      <c r="D32" s="91"/>
      <c r="E32" s="91"/>
      <c r="F32" s="92"/>
      <c r="G32" s="89"/>
      <c r="H32" s="93"/>
      <c r="I32" s="95"/>
      <c r="J32" s="115" t="str">
        <f>IF($B32="","",IFERROR(_xlfn.XLOOKUP($B32,Members!$C:$C,Members!$G:$G),""))</f>
        <v/>
      </c>
      <c r="K32" s="91" t="s">
        <v>148</v>
      </c>
      <c r="L32" s="105"/>
    </row>
    <row r="33" spans="1:12">
      <c r="A33" s="84"/>
      <c r="B33" s="83"/>
      <c r="C33" s="100"/>
      <c r="D33" s="85"/>
      <c r="E33" s="85"/>
      <c r="F33" s="86"/>
      <c r="G33" s="84"/>
      <c r="H33" s="87"/>
      <c r="I33" s="88"/>
      <c r="J33" s="115" t="str">
        <f>IF($B33="","",IFERROR(_xlfn.XLOOKUP($B33,Members!$C:$C,Members!$G:$G),""))</f>
        <v/>
      </c>
      <c r="K33" s="91" t="s">
        <v>148</v>
      </c>
    </row>
    <row r="34" spans="1:12">
      <c r="A34" s="89"/>
      <c r="B34" s="90"/>
      <c r="C34" s="99"/>
      <c r="D34" s="91"/>
      <c r="E34" s="91"/>
      <c r="F34" s="92"/>
      <c r="G34" s="89"/>
      <c r="H34" s="93"/>
      <c r="I34" s="95"/>
      <c r="J34" s="115" t="str">
        <f>IF($B34="","",IFERROR(_xlfn.XLOOKUP($B34,Members!$C:$C,Members!$G:$G),""))</f>
        <v/>
      </c>
      <c r="K34" s="91" t="s">
        <v>148</v>
      </c>
      <c r="L34" s="105"/>
    </row>
    <row r="35" spans="1:12">
      <c r="A35" s="84"/>
      <c r="B35" s="83"/>
      <c r="C35" s="100"/>
      <c r="D35" s="85"/>
      <c r="E35" s="85"/>
      <c r="F35" s="86"/>
      <c r="G35" s="84"/>
      <c r="H35" s="87"/>
      <c r="I35" s="88"/>
      <c r="J35" s="115" t="str">
        <f>IF($B35="","",IFERROR(_xlfn.XLOOKUP($B35,Members!$C:$C,Members!$G:$G),""))</f>
        <v/>
      </c>
      <c r="K35" s="91" t="s">
        <v>148</v>
      </c>
    </row>
    <row r="36" spans="1:12">
      <c r="A36" s="89"/>
      <c r="B36" s="90"/>
      <c r="C36" s="99"/>
      <c r="D36" s="91"/>
      <c r="E36" s="91"/>
      <c r="F36" s="92"/>
      <c r="G36" s="89"/>
      <c r="H36" s="93"/>
      <c r="I36" s="95"/>
      <c r="J36" s="115" t="str">
        <f>IF($B36="","",IFERROR(_xlfn.XLOOKUP($B36,Members!$C:$C,Members!$G:$G),""))</f>
        <v/>
      </c>
      <c r="K36" s="91" t="s">
        <v>148</v>
      </c>
      <c r="L36" s="105"/>
    </row>
    <row r="37" spans="1:12">
      <c r="A37" s="84"/>
      <c r="B37" s="83"/>
      <c r="C37" s="100"/>
      <c r="D37" s="85"/>
      <c r="E37" s="85"/>
      <c r="F37" s="86"/>
      <c r="G37" s="84"/>
      <c r="H37" s="87"/>
      <c r="I37" s="88"/>
      <c r="J37" s="115" t="str">
        <f>IF($B37="","",IFERROR(_xlfn.XLOOKUP($B37,Members!$C:$C,Members!$G:$G),""))</f>
        <v/>
      </c>
      <c r="K37" s="91" t="s">
        <v>148</v>
      </c>
    </row>
    <row r="38" spans="1:12">
      <c r="A38" s="89"/>
      <c r="B38" s="90"/>
      <c r="C38" s="99"/>
      <c r="D38" s="91"/>
      <c r="E38" s="91"/>
      <c r="F38" s="92"/>
      <c r="G38" s="89"/>
      <c r="H38" s="93"/>
      <c r="I38" s="95"/>
      <c r="J38" s="115" t="str">
        <f>IF($B38="","",IFERROR(_xlfn.XLOOKUP($B38,Members!$C:$C,Members!$G:$G),""))</f>
        <v/>
      </c>
      <c r="K38" s="91" t="s">
        <v>148</v>
      </c>
      <c r="L38" s="105"/>
    </row>
    <row r="39" spans="1:12">
      <c r="A39" s="84"/>
      <c r="B39" s="83"/>
      <c r="C39" s="100"/>
      <c r="D39" s="85"/>
      <c r="E39" s="85"/>
      <c r="F39" s="86"/>
      <c r="G39" s="84"/>
      <c r="H39" s="87"/>
      <c r="I39" s="88"/>
      <c r="J39" s="115" t="str">
        <f>IF($B39="","",IFERROR(_xlfn.XLOOKUP($B39,Members!$C:$C,Members!$G:$G),""))</f>
        <v/>
      </c>
      <c r="K39" s="91" t="s">
        <v>148</v>
      </c>
    </row>
    <row r="40" spans="1:12">
      <c r="A40" s="89"/>
      <c r="B40" s="90"/>
      <c r="C40" s="99"/>
      <c r="D40" s="91"/>
      <c r="E40" s="91"/>
      <c r="F40" s="92"/>
      <c r="G40" s="89"/>
      <c r="H40" s="93"/>
      <c r="I40" s="95"/>
      <c r="J40" s="115" t="str">
        <f>IF($B40="","",IFERROR(_xlfn.XLOOKUP($B40,Members!$C:$C,Members!$G:$G),""))</f>
        <v/>
      </c>
      <c r="K40" s="91" t="s">
        <v>148</v>
      </c>
      <c r="L40" s="105"/>
    </row>
    <row r="41" spans="1:12">
      <c r="A41" s="84"/>
      <c r="B41" s="83"/>
      <c r="C41" s="100"/>
      <c r="D41" s="85"/>
      <c r="E41" s="85"/>
      <c r="F41" s="86"/>
      <c r="G41" s="84"/>
      <c r="H41" s="87"/>
      <c r="I41" s="88"/>
      <c r="J41" s="115" t="str">
        <f>IF($B41="","",IFERROR(_xlfn.XLOOKUP($B41,Members!$C:$C,Members!$G:$G),""))</f>
        <v/>
      </c>
      <c r="K41" s="91" t="s">
        <v>148</v>
      </c>
    </row>
    <row r="42" spans="1:12">
      <c r="A42" s="89"/>
      <c r="B42" s="90"/>
      <c r="C42" s="99"/>
      <c r="D42" s="91"/>
      <c r="E42" s="91"/>
      <c r="F42" s="92"/>
      <c r="G42" s="89"/>
      <c r="H42" s="93"/>
      <c r="I42" s="95"/>
      <c r="J42" s="115" t="str">
        <f>IF($B42="","",IFERROR(_xlfn.XLOOKUP($B42,Members!$C:$C,Members!$G:$G),""))</f>
        <v/>
      </c>
      <c r="K42" s="91" t="s">
        <v>148</v>
      </c>
      <c r="L42" s="105"/>
    </row>
    <row r="43" spans="1:12">
      <c r="A43" s="84"/>
      <c r="B43" s="83"/>
      <c r="C43" s="100"/>
      <c r="D43" s="85"/>
      <c r="E43" s="85"/>
      <c r="F43" s="86"/>
      <c r="G43" s="84"/>
      <c r="H43" s="87"/>
      <c r="I43" s="88"/>
      <c r="J43" s="115" t="str">
        <f>IF($B43="","",IFERROR(_xlfn.XLOOKUP($B43,Members!$C:$C,Members!$G:$G),""))</f>
        <v/>
      </c>
      <c r="K43" s="91" t="s">
        <v>148</v>
      </c>
    </row>
    <row r="44" spans="1:12">
      <c r="A44" s="89"/>
      <c r="B44" s="90"/>
      <c r="C44" s="99"/>
      <c r="D44" s="91"/>
      <c r="E44" s="91"/>
      <c r="F44" s="92"/>
      <c r="G44" s="89"/>
      <c r="H44" s="93"/>
      <c r="I44" s="95"/>
      <c r="J44" s="115" t="str">
        <f>IF($B44="","",IFERROR(_xlfn.XLOOKUP($B44,Members!$C:$C,Members!$G:$G),""))</f>
        <v/>
      </c>
      <c r="K44" s="91" t="s">
        <v>148</v>
      </c>
      <c r="L44" s="105"/>
    </row>
    <row r="45" spans="1:12">
      <c r="A45" s="84"/>
      <c r="B45" s="83"/>
      <c r="C45" s="100"/>
      <c r="D45" s="85"/>
      <c r="E45" s="85"/>
      <c r="F45" s="86"/>
      <c r="G45" s="84"/>
      <c r="H45" s="87"/>
      <c r="I45" s="88"/>
      <c r="J45" s="115" t="str">
        <f>IF($B45="","",IFERROR(_xlfn.XLOOKUP($B45,Members!$C:$C,Members!$G:$G),""))</f>
        <v/>
      </c>
      <c r="K45" s="91" t="s">
        <v>148</v>
      </c>
    </row>
    <row r="46" spans="1:12">
      <c r="A46" s="89"/>
      <c r="B46" s="90"/>
      <c r="C46" s="99"/>
      <c r="D46" s="91"/>
      <c r="E46" s="91"/>
      <c r="F46" s="92"/>
      <c r="G46" s="89"/>
      <c r="H46" s="93"/>
      <c r="I46" s="95"/>
      <c r="J46" s="115" t="str">
        <f>IF($B46="","",IFERROR(_xlfn.XLOOKUP($B46,Members!$C:$C,Members!$G:$G),""))</f>
        <v/>
      </c>
      <c r="K46" s="91" t="s">
        <v>148</v>
      </c>
      <c r="L46" s="105"/>
    </row>
    <row r="47" spans="1:12">
      <c r="A47" s="84"/>
      <c r="B47" s="83"/>
      <c r="C47" s="100"/>
      <c r="D47" s="85"/>
      <c r="E47" s="85"/>
      <c r="F47" s="86"/>
      <c r="G47" s="84"/>
      <c r="H47" s="87"/>
      <c r="I47" s="88"/>
      <c r="J47" s="115" t="str">
        <f>IF($B47="","",IFERROR(_xlfn.XLOOKUP($B47,Members!$C:$C,Members!$G:$G),""))</f>
        <v/>
      </c>
      <c r="K47" s="91" t="s">
        <v>148</v>
      </c>
    </row>
    <row r="48" spans="1:12">
      <c r="A48" s="89"/>
      <c r="B48" s="90"/>
      <c r="C48" s="99"/>
      <c r="D48" s="91"/>
      <c r="E48" s="91"/>
      <c r="F48" s="92"/>
      <c r="G48" s="89"/>
      <c r="H48" s="93"/>
      <c r="I48" s="95"/>
      <c r="J48" s="115" t="str">
        <f>IF($B48="","",IFERROR(_xlfn.XLOOKUP($B48,Members!$C:$C,Members!$G:$G),""))</f>
        <v/>
      </c>
      <c r="K48" s="91" t="s">
        <v>148</v>
      </c>
      <c r="L48" s="105"/>
    </row>
    <row r="49" spans="1:12">
      <c r="A49" s="84"/>
      <c r="B49" s="83"/>
      <c r="C49" s="100"/>
      <c r="D49" s="85"/>
      <c r="E49" s="85"/>
      <c r="F49" s="86"/>
      <c r="G49" s="84"/>
      <c r="H49" s="87"/>
      <c r="I49" s="88"/>
      <c r="J49" s="115" t="str">
        <f>IF($B49="","",IFERROR(_xlfn.XLOOKUP($B49,Members!$C:$C,Members!$G:$G),""))</f>
        <v/>
      </c>
      <c r="K49" s="91" t="s">
        <v>148</v>
      </c>
    </row>
    <row r="50" spans="1:12">
      <c r="A50" s="89"/>
      <c r="B50" s="90"/>
      <c r="C50" s="99"/>
      <c r="D50" s="91"/>
      <c r="E50" s="91"/>
      <c r="F50" s="92"/>
      <c r="G50" s="89"/>
      <c r="H50" s="93"/>
      <c r="I50" s="95"/>
      <c r="J50" s="115" t="str">
        <f>IF($B50="","",IFERROR(_xlfn.XLOOKUP($B50,Members!$C:$C,Members!$G:$G),""))</f>
        <v/>
      </c>
      <c r="K50" s="91" t="s">
        <v>148</v>
      </c>
      <c r="L50" s="105"/>
    </row>
    <row r="51" spans="1:12">
      <c r="A51" s="84"/>
      <c r="B51" s="83"/>
      <c r="C51" s="100"/>
      <c r="D51" s="85"/>
      <c r="E51" s="85"/>
      <c r="F51" s="86"/>
      <c r="G51" s="84"/>
      <c r="H51" s="87"/>
      <c r="I51" s="88"/>
      <c r="J51" s="115" t="str">
        <f>IF($B51="","",IFERROR(_xlfn.XLOOKUP($B51,Members!$C:$C,Members!$G:$G),""))</f>
        <v/>
      </c>
      <c r="K51" s="91" t="s">
        <v>148</v>
      </c>
    </row>
    <row r="52" spans="1:12">
      <c r="A52" s="89"/>
      <c r="B52" s="90"/>
      <c r="C52" s="99"/>
      <c r="D52" s="91"/>
      <c r="E52" s="91"/>
      <c r="F52" s="92"/>
      <c r="G52" s="89"/>
      <c r="H52" s="93"/>
      <c r="I52" s="95"/>
      <c r="J52" s="115" t="str">
        <f>IF($B52="","",IFERROR(_xlfn.XLOOKUP($B52,Members!$C:$C,Members!$G:$G),""))</f>
        <v/>
      </c>
      <c r="K52" s="91" t="s">
        <v>148</v>
      </c>
      <c r="L52" s="105"/>
    </row>
    <row r="53" spans="1:12">
      <c r="A53" s="84"/>
      <c r="B53" s="83"/>
      <c r="C53" s="100"/>
      <c r="D53" s="85"/>
      <c r="E53" s="85"/>
      <c r="F53" s="86"/>
      <c r="G53" s="84"/>
      <c r="H53" s="87"/>
      <c r="I53" s="88"/>
      <c r="J53" s="115" t="str">
        <f>IF($B53="","",IFERROR(_xlfn.XLOOKUP($B53,Members!$C:$C,Members!$G:$G),""))</f>
        <v/>
      </c>
      <c r="K53" s="91" t="s">
        <v>148</v>
      </c>
    </row>
    <row r="54" spans="1:12">
      <c r="A54" s="89"/>
      <c r="B54" s="90"/>
      <c r="C54" s="99"/>
      <c r="D54" s="91"/>
      <c r="E54" s="91"/>
      <c r="F54" s="92"/>
      <c r="G54" s="89"/>
      <c r="H54" s="93"/>
      <c r="I54" s="95"/>
      <c r="J54" s="115" t="str">
        <f>IF($B54="","",IFERROR(_xlfn.XLOOKUP($B54,Members!$C:$C,Members!$G:$G),""))</f>
        <v/>
      </c>
      <c r="K54" s="91" t="s">
        <v>148</v>
      </c>
      <c r="L54" s="105"/>
    </row>
    <row r="55" spans="1:12">
      <c r="A55" s="84"/>
      <c r="B55" s="83"/>
      <c r="C55" s="100"/>
      <c r="D55" s="85"/>
      <c r="E55" s="85"/>
      <c r="F55" s="86"/>
      <c r="G55" s="84"/>
      <c r="H55" s="87"/>
      <c r="I55" s="88"/>
      <c r="J55" s="115" t="str">
        <f>IF($B55="","",IFERROR(_xlfn.XLOOKUP($B55,Members!$C:$C,Members!$G:$G),""))</f>
        <v/>
      </c>
      <c r="K55" s="91" t="s">
        <v>148</v>
      </c>
    </row>
    <row r="56" spans="1:12">
      <c r="A56" s="82" t="s">
        <v>149</v>
      </c>
      <c r="B56" s="96" t="str">
        <f>"Members: "&amp;COUNTA(A6:A55)</f>
        <v>Members: 2</v>
      </c>
      <c r="C56" s="82"/>
      <c r="D56" s="82"/>
      <c r="E56" s="82"/>
      <c r="F56" s="82"/>
      <c r="G56" s="82"/>
      <c r="H56" s="82"/>
      <c r="I56" s="82"/>
      <c r="J56" s="101">
        <f>SUM(J6:J55)</f>
        <v>5000000</v>
      </c>
      <c r="K56" s="101">
        <f>SUM(K6:K55)</f>
        <v>700000</v>
      </c>
      <c r="L56" s="102">
        <f>IFERROR(K56/J56,0)</f>
        <v>0.14000000000000001</v>
      </c>
    </row>
  </sheetData>
  <conditionalFormatting sqref="G6:G55">
    <cfRule type="containsText" dxfId="18" priority="7" operator="containsText" text="Gold">
      <formula>NOT(ISERROR(SEARCH("Gold",G6)))</formula>
    </cfRule>
  </conditionalFormatting>
  <conditionalFormatting sqref="G6:G55">
    <cfRule type="containsText" dxfId="17" priority="8" operator="containsText" text="Platinum">
      <formula>NOT(ISERROR(SEARCH("Platinum",G6)))</formula>
    </cfRule>
  </conditionalFormatting>
  <conditionalFormatting sqref="G6:G55">
    <cfRule type="containsText" dxfId="16" priority="9" operator="containsText" text="Diamond">
      <formula>NOT(ISERROR(SEARCH("Diamond",G6)))</formula>
    </cfRule>
  </conditionalFormatting>
  <conditionalFormatting sqref="I6:I55">
    <cfRule type="containsText" dxfId="15" priority="10" operator="containsText" text="Active">
      <formula>NOT(ISERROR(SEARCH("Active",I6)))</formula>
    </cfRule>
  </conditionalFormatting>
  <conditionalFormatting sqref="I6:I55">
    <cfRule type="containsText" dxfId="14" priority="11" operator="containsText" text="Inactive">
      <formula>NOT(ISERROR(SEARCH("Inactive",I6)))</formula>
    </cfRule>
  </conditionalFormatting>
  <conditionalFormatting sqref="I6:I55">
    <cfRule type="containsText" dxfId="13" priority="12" operator="containsText" text="Suspended">
      <formula>NOT(ISERROR(SEARCH("Suspended",I6)))</formula>
    </cfRule>
  </conditionalFormatting>
  <conditionalFormatting sqref="L6:L55">
    <cfRule type="colorScale" priority="13">
      <colorScale>
        <cfvo type="min"/>
        <cfvo type="max"/>
        <color rgb="FFFFFFFF"/>
        <color rgb="FF70AD47"/>
      </colorScale>
    </cfRule>
  </conditionalFormatting>
  <conditionalFormatting sqref="K26:K55">
    <cfRule type="containsText" dxfId="12" priority="1" operator="containsText" text="Confirmed">
      <formula>NOT(ISERROR(SEARCH("Confirmed",K26)))</formula>
    </cfRule>
  </conditionalFormatting>
  <conditionalFormatting sqref="K26:K55">
    <cfRule type="containsText" dxfId="11" priority="2" operator="containsText" text="Pending">
      <formula>NOT(ISERROR(SEARCH("Pending",K26)))</formula>
    </cfRule>
  </conditionalFormatting>
  <conditionalFormatting sqref="K26:K55">
    <cfRule type="containsText" dxfId="10" priority="3" operator="containsText" text="Voided">
      <formula>NOT(ISERROR(SEARCH("Voided",K26)))</formula>
    </cfRule>
  </conditionalFormatting>
  <conditionalFormatting sqref="J20:J55">
    <cfRule type="containsText" dxfId="9" priority="4" operator="containsText" text="Gold">
      <formula>NOT(ISERROR(SEARCH("Gold",J20)))</formula>
    </cfRule>
  </conditionalFormatting>
  <conditionalFormatting sqref="J20:J55">
    <cfRule type="containsText" dxfId="8" priority="5" operator="containsText" text="Platinum">
      <formula>NOT(ISERROR(SEARCH("Platinum",J20)))</formula>
    </cfRule>
  </conditionalFormatting>
  <conditionalFormatting sqref="J20:J55">
    <cfRule type="containsText" dxfId="7" priority="6" operator="containsText" text="Diamond">
      <formula>NOT(ISERROR(SEARCH("Diamond",J20)))</formula>
    </cfRule>
  </conditionalFormatting>
  <dataValidations count="5">
    <dataValidation type="list" allowBlank="1" showInputMessage="1" showErrorMessage="1" sqref="G6:G55">
      <formula1>"🥇 Gold (8%),💎 Platinum (10%),👑 Diamond (12%)"</formula1>
    </dataValidation>
    <dataValidation type="list" allowBlank="1" showInputMessage="1" showErrorMessage="1" sqref="D6:D55">
      <formula1>"Engineer,Contractor,Architect,Layer"</formula1>
    </dataValidation>
    <dataValidation type="list" allowBlank="1" showInputMessage="1" showErrorMessage="1" sqref="E6:E55">
      <formula1>"Madurai,Ramnad,Rajapalayam,Thoppur,Tenkasi"</formula1>
    </dataValidation>
    <dataValidation type="list" allowBlank="1" showInputMessage="1" showErrorMessage="1" sqref="I6:I55">
      <formula1>"Active,Inactive,Suspended"</formula1>
    </dataValidation>
    <dataValidation type="list" allowBlank="1" showInputMessage="1" showErrorMessage="1" sqref="K26:K55">
      <formula1>"Confirmed,Pending,Voided"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5"/>
  <sheetViews>
    <sheetView topLeftCell="C1" workbookViewId="0">
      <pane ySplit="5" topLeftCell="A6" activePane="bottomLeft" state="frozen"/>
      <selection pane="bottomLeft" activeCell="J10" sqref="J10"/>
    </sheetView>
  </sheetViews>
  <sheetFormatPr defaultRowHeight="15"/>
  <cols>
    <col min="1" max="1" width="17.140625" style="106" customWidth="1"/>
    <col min="2" max="2" width="22.85546875" style="106" customWidth="1"/>
    <col min="3" max="3" width="17.140625" style="106" customWidth="1"/>
    <col min="4" max="4" width="30.42578125" style="106" customWidth="1"/>
    <col min="5" max="5" width="19" style="106" customWidth="1"/>
    <col min="6" max="6" width="24.7109375" customWidth="1"/>
    <col min="7" max="7" width="38.140625" customWidth="1"/>
    <col min="8" max="8" width="22.85546875" customWidth="1"/>
    <col min="9" max="9" width="24.7109375" customWidth="1"/>
    <col min="10" max="10" width="30.42578125" customWidth="1"/>
    <col min="11" max="11" width="19" customWidth="1"/>
    <col min="12" max="12" width="30.42578125" customWidth="1"/>
    <col min="13" max="13" width="19" customWidth="1"/>
    <col min="14" max="14" width="38.140625" customWidth="1"/>
  </cols>
  <sheetData>
    <row r="1" spans="1:12" ht="21">
      <c r="A1" s="79" t="s">
        <v>150</v>
      </c>
      <c r="B1"/>
      <c r="C1"/>
      <c r="D1"/>
      <c r="E1"/>
    </row>
    <row r="2" spans="1:12">
      <c r="A2" s="29" t="s">
        <v>151</v>
      </c>
      <c r="B2"/>
      <c r="C2"/>
      <c r="D2"/>
      <c r="E2"/>
    </row>
    <row r="3" spans="1:12">
      <c r="A3" s="29" t="s">
        <v>152</v>
      </c>
      <c r="B3"/>
      <c r="C3"/>
      <c r="D3"/>
      <c r="E3"/>
    </row>
    <row r="4" spans="1:12">
      <c r="A4"/>
      <c r="B4"/>
      <c r="C4"/>
      <c r="D4"/>
      <c r="E4"/>
    </row>
    <row r="5" spans="1:12">
      <c r="A5" s="97" t="s">
        <v>153</v>
      </c>
      <c r="B5" s="97" t="s">
        <v>154</v>
      </c>
      <c r="C5" s="97" t="s">
        <v>155</v>
      </c>
      <c r="D5" s="97" t="s">
        <v>113</v>
      </c>
      <c r="E5" s="97" t="s">
        <v>156</v>
      </c>
      <c r="F5" s="97" t="s">
        <v>55</v>
      </c>
      <c r="G5" s="97" t="s">
        <v>157</v>
      </c>
      <c r="H5" s="97" t="s">
        <v>56</v>
      </c>
      <c r="I5" s="97" t="s">
        <v>57</v>
      </c>
      <c r="J5" s="97" t="s">
        <v>158</v>
      </c>
      <c r="K5" s="97" t="s">
        <v>132</v>
      </c>
      <c r="L5" s="97" t="s">
        <v>6</v>
      </c>
    </row>
    <row r="6" spans="1:12">
      <c r="A6" s="89" t="s">
        <v>159</v>
      </c>
      <c r="B6" s="99" t="s">
        <v>138</v>
      </c>
      <c r="C6" s="111" t="str">
        <f>IF($B6="","",IFERROR(_xlfn.XLOOKUP($B6,Members!$C:$C,Members!$A:$A),"NOT FOUND"))</f>
        <v>M001</v>
      </c>
      <c r="D6" s="112" t="str">
        <f>IF($B6="","",IFERROR(_xlfn.XLOOKUP($B6,Members!$C:$C,Members!$B:$B),"NOT FOUND"))</f>
        <v>Rajesh Kumar</v>
      </c>
      <c r="E6" s="92">
        <v>45292</v>
      </c>
      <c r="F6" s="113">
        <v>2000000</v>
      </c>
      <c r="G6" s="90" t="s">
        <v>160</v>
      </c>
      <c r="H6" s="103">
        <f>IF(OR($B6="",$F6=""),"",$F6*IFERROR(IF(AND(_xlfn.XLOOKUP($B6,Members!$C:$C,Members!$H:$H)&lt;&gt;"",ISNUMBER(_xlfn.XLOOKUP($B6,Members!$C:$C,Members!$H:$H))),_xlfn.XLOOKUP($B6,Members!$C:$C,Members!$H:$H),IF(ISNUMBER(SEARCH("Diamond",J6)),Settings!$D$10,IF(ISNUMBER(SEARCH("Platinum",J6)),Settings!$C$10,Settings!$B$10))),0))</f>
        <v>400000</v>
      </c>
      <c r="I6" s="114">
        <f>IF(OR($F6="",$H6=""),"",$F6-$H6)</f>
        <v>1600000</v>
      </c>
      <c r="J6" s="115" t="str">
        <f>IF($B6="","",IFERROR(_xlfn.XLOOKUP($B6,Members!$C:$C,Members!$G:$G),""))</f>
        <v>🥇 Gold (8%)</v>
      </c>
      <c r="K6" s="91" t="s">
        <v>148</v>
      </c>
      <c r="L6" s="90"/>
    </row>
    <row r="7" spans="1:12">
      <c r="A7" s="84" t="s">
        <v>159</v>
      </c>
      <c r="B7" s="99" t="s">
        <v>145</v>
      </c>
      <c r="C7" s="107" t="str">
        <f>IF($B7="","",IFERROR(_xlfn.XLOOKUP($B7,Members!$C:$C,Members!$A:$A),"NOT FOUND"))</f>
        <v>M002</v>
      </c>
      <c r="D7" s="108" t="str">
        <f>IF($B7="","",IFERROR(_xlfn.XLOOKUP($B7,Members!$C:$C,Members!$B:$B),"NOT FOUND"))</f>
        <v>test</v>
      </c>
      <c r="E7" s="86">
        <v>45292</v>
      </c>
      <c r="F7" s="109">
        <v>3000000</v>
      </c>
      <c r="G7" s="83" t="s">
        <v>160</v>
      </c>
      <c r="H7" s="49">
        <f>IF(OR($B7="",$F7=""),"",$F7*IFERROR(IF(AND(_xlfn.XLOOKUP($B7,Members!$C:$C,Members!$H:$H)&lt;&gt;"",ISNUMBER(_xlfn.XLOOKUP($B7,Members!$C:$C,Members!$H:$H))),_xlfn.XLOOKUP($B7,Members!$C:$C,Members!$H:$H),IF(ISNUMBER(SEARCH("Diamond",J7)),Settings!$D$10,IF(ISNUMBER(SEARCH("Platinum",J7)),Settings!$C$10,Settings!$B$10))),0))</f>
        <v>300000</v>
      </c>
      <c r="I7" s="110">
        <f t="shared" ref="I7:I55" si="0">IF(OR($F7="",$H7=""),"",$F7-$H7)</f>
        <v>2700000</v>
      </c>
      <c r="J7" s="48" t="str">
        <f>IF($B7="","",IFERROR(_xlfn.XLOOKUP($B7,Members!$C:$C,Members!$G:$G),""))</f>
        <v>💎 Platinum (10%)</v>
      </c>
      <c r="K7" s="85" t="s">
        <v>148</v>
      </c>
      <c r="L7" s="83"/>
    </row>
    <row r="8" spans="1:12">
      <c r="A8" s="89" t="s">
        <v>159</v>
      </c>
      <c r="B8" s="99">
        <v>9876543210</v>
      </c>
      <c r="C8" s="111" t="str">
        <f>IF($B8="","",IFERROR(_xlfn.XLOOKUP($B8,Members!$C:$C,Members!$A:$A),"NOT FOUND"))</f>
        <v>NOT FOUND</v>
      </c>
      <c r="D8" s="112" t="str">
        <f>IF($B8="","",IFERROR(_xlfn.XLOOKUP($B8,Members!$C:$C,Members!$B:$B),"NOT FOUND"))</f>
        <v>NOT FOUND</v>
      </c>
      <c r="E8" s="92">
        <v>45292</v>
      </c>
      <c r="F8" s="113">
        <v>2000000</v>
      </c>
      <c r="G8" s="90" t="s">
        <v>160</v>
      </c>
      <c r="H8" s="103">
        <f>IF(OR($B8="",$F8=""),"",$F8*IFERROR(IF(AND(_xlfn.XLOOKUP($B8,Members!$C:$C,Members!$H:$H)&lt;&gt;"",ISNUMBER(_xlfn.XLOOKUP($B8,Members!$C:$C,Members!$H:$H))),_xlfn.XLOOKUP($B8,Members!$C:$C,Members!$H:$H),IF(ISNUMBER(SEARCH("Diamond",J8)),Settings!$D$10,IF(ISNUMBER(SEARCH("Platinum",J8)),Settings!$C$10,Settings!$B$10))),0))</f>
        <v>0</v>
      </c>
      <c r="I8" s="114">
        <f t="shared" si="0"/>
        <v>2000000</v>
      </c>
      <c r="J8" s="115" t="str">
        <f>IF($B8="","",IFERROR(_xlfn.XLOOKUP($B8,Members!$C:$C,Members!$G:$G),""))</f>
        <v/>
      </c>
      <c r="K8" s="91" t="s">
        <v>148</v>
      </c>
      <c r="L8" s="90"/>
    </row>
    <row r="9" spans="1:12">
      <c r="A9" s="84" t="s">
        <v>159</v>
      </c>
      <c r="B9" s="100">
        <v>9876543210</v>
      </c>
      <c r="C9" s="107" t="str">
        <f>IF($B9="","",IFERROR(_xlfn.XLOOKUP($B9,Members!$C:$C,Members!$A:$A),"NOT FOUND"))</f>
        <v>NOT FOUND</v>
      </c>
      <c r="D9" s="108" t="str">
        <f>IF($B9="","",IFERROR(_xlfn.XLOOKUP($B9,Members!$C:$C,Members!$B:$B),"NOT FOUND"))</f>
        <v>NOT FOUND</v>
      </c>
      <c r="E9" s="86">
        <v>45292</v>
      </c>
      <c r="F9" s="109">
        <v>2000000</v>
      </c>
      <c r="G9" s="83" t="s">
        <v>160</v>
      </c>
      <c r="H9" s="49">
        <f>IF(OR($B9="",$F9=""),"",$F9*IFERROR(IF(AND(_xlfn.XLOOKUP($B9,Members!$C:$C,Members!$H:$H)&lt;&gt;"",ISNUMBER(_xlfn.XLOOKUP($B9,Members!$C:$C,Members!$H:$H))),_xlfn.XLOOKUP($B9,Members!$C:$C,Members!$H:$H),IF(ISNUMBER(SEARCH("Diamond",J9)),Settings!$D$10,IF(ISNUMBER(SEARCH("Platinum",J9)),Settings!$C$10,Settings!$B$10))),0))</f>
        <v>0</v>
      </c>
      <c r="I9" s="110">
        <f t="shared" si="0"/>
        <v>2000000</v>
      </c>
      <c r="J9" s="48" t="str">
        <f>IF($B9="","",IFERROR(_xlfn.XLOOKUP($B9,Members!$C:$C,Members!$G:$G),""))</f>
        <v/>
      </c>
      <c r="K9" s="85" t="s">
        <v>148</v>
      </c>
      <c r="L9" s="83"/>
    </row>
    <row r="10" spans="1:12">
      <c r="A10" s="89" t="s">
        <v>159</v>
      </c>
      <c r="B10" s="99">
        <v>9876543210</v>
      </c>
      <c r="C10" s="111" t="str">
        <f>IF($B10="","",IFERROR(_xlfn.XLOOKUP($B10,Members!$C:$C,Members!$A:$A),"NOT FOUND"))</f>
        <v>NOT FOUND</v>
      </c>
      <c r="D10" s="112" t="str">
        <f>IF($B10="","",IFERROR(_xlfn.XLOOKUP($B10,Members!$C:$C,Members!$B:$B),"NOT FOUND"))</f>
        <v>NOT FOUND</v>
      </c>
      <c r="E10" s="92">
        <v>45292</v>
      </c>
      <c r="F10" s="113">
        <v>2000000</v>
      </c>
      <c r="G10" s="90" t="s">
        <v>160</v>
      </c>
      <c r="H10" s="103">
        <f ca="1">IF(OR($B10="",$F10=""),"",$F10*IFERROR(IF(AND(_xlfn.XLOOKUP($B10,Members!$C:$C,Members!$H:$H)&lt;&gt;"",ISNUMBER(_xlfn.XLOOKUP($B10,Members!$C:$C,Members!$H:$H))),_xlfn.XLOOKUP($B10,Members!$C:$C,Members!$H:$H),IF(ISNUMBER(SEARCH("Diamond",J10)),Settings!$D$10,IF(ISNUMBER(SEARCH("Platinum",J10)),Settings!$C$10,Settings!$B$10))),0))</f>
        <v>0</v>
      </c>
      <c r="I10" s="114">
        <f t="shared" ca="1" si="0"/>
        <v>2000000</v>
      </c>
      <c r="J10" s="115" t="s">
        <v>162</v>
      </c>
      <c r="K10" s="91" t="s">
        <v>148</v>
      </c>
      <c r="L10" s="90"/>
    </row>
    <row r="11" spans="1:12">
      <c r="A11" s="84" t="s">
        <v>159</v>
      </c>
      <c r="B11" s="100">
        <v>9876543210</v>
      </c>
      <c r="C11" s="107" t="str">
        <f>IF($B11="","",IFERROR(_xlfn.XLOOKUP($B11,Members!$C:$C,Members!$A:$A),"NOT FOUND"))</f>
        <v>NOT FOUND</v>
      </c>
      <c r="D11" s="108" t="str">
        <f>IF($B11="","",IFERROR(_xlfn.XLOOKUP($B11,Members!$C:$C,Members!$B:$B),"NOT FOUND"))</f>
        <v>NOT FOUND</v>
      </c>
      <c r="E11" s="86">
        <v>45292</v>
      </c>
      <c r="F11" s="109">
        <v>2000000</v>
      </c>
      <c r="G11" s="83" t="s">
        <v>160</v>
      </c>
      <c r="H11" s="49">
        <f>IF(OR($B11="",$F11=""),"",$F11*IFERROR(IF(AND(_xlfn.XLOOKUP($B11,Members!$C:$C,Members!$H:$H)&lt;&gt;"",ISNUMBER(_xlfn.XLOOKUP($B11,Members!$C:$C,Members!$H:$H))),_xlfn.XLOOKUP($B11,Members!$C:$C,Members!$H:$H),IF(ISNUMBER(SEARCH("Diamond",J11)),Settings!$D$10,IF(ISNUMBER(SEARCH("Platinum",J11)),Settings!$C$10,Settings!$B$10))),0))</f>
        <v>0</v>
      </c>
      <c r="I11" s="110">
        <f t="shared" si="0"/>
        <v>2000000</v>
      </c>
      <c r="J11" s="48" t="str">
        <f>IF($B11="","",IFERROR(_xlfn.XLOOKUP($B11,Members!$C:$C,Members!$G:$G),""))</f>
        <v/>
      </c>
      <c r="K11" s="85" t="s">
        <v>148</v>
      </c>
      <c r="L11" s="83"/>
    </row>
    <row r="12" spans="1:12">
      <c r="A12" s="89" t="s">
        <v>159</v>
      </c>
      <c r="B12" s="99">
        <v>9876543210</v>
      </c>
      <c r="C12" s="111" t="str">
        <f>IF($B12="","",IFERROR(_xlfn.XLOOKUP($B12,Members!$C:$C,Members!$A:$A),"NOT FOUND"))</f>
        <v>NOT FOUND</v>
      </c>
      <c r="D12" s="112" t="str">
        <f>IF($B12="","",IFERROR(_xlfn.XLOOKUP($B12,Members!$C:$C,Members!$B:$B),"NOT FOUND"))</f>
        <v>NOT FOUND</v>
      </c>
      <c r="E12" s="92">
        <v>45292</v>
      </c>
      <c r="F12" s="113">
        <v>2000000</v>
      </c>
      <c r="G12" s="90" t="s">
        <v>160</v>
      </c>
      <c r="H12" s="103">
        <f>IF(OR($B12="",$F12=""),"",$F12*IFERROR(IF(AND(_xlfn.XLOOKUP($B12,Members!$C:$C,Members!$H:$H)&lt;&gt;"",ISNUMBER(_xlfn.XLOOKUP($B12,Members!$C:$C,Members!$H:$H))),_xlfn.XLOOKUP($B12,Members!$C:$C,Members!$H:$H),IF(ISNUMBER(SEARCH("Diamond",J12)),Settings!$D$10,IF(ISNUMBER(SEARCH("Platinum",J12)),Settings!$C$10,Settings!$B$10))),0))</f>
        <v>0</v>
      </c>
      <c r="I12" s="114">
        <f t="shared" si="0"/>
        <v>2000000</v>
      </c>
      <c r="J12" s="115" t="str">
        <f>IF($B12="","",IFERROR(_xlfn.XLOOKUP($B12,Members!$C:$C,Members!$G:$G),""))</f>
        <v/>
      </c>
      <c r="K12" s="91" t="s">
        <v>148</v>
      </c>
      <c r="L12" s="90"/>
    </row>
    <row r="13" spans="1:12">
      <c r="A13" s="84" t="s">
        <v>159</v>
      </c>
      <c r="B13" s="100">
        <v>9876543210</v>
      </c>
      <c r="C13" s="107" t="str">
        <f>IF($B13="","",IFERROR(_xlfn.XLOOKUP($B13,Members!$C:$C,Members!$A:$A),"NOT FOUND"))</f>
        <v>NOT FOUND</v>
      </c>
      <c r="D13" s="108" t="str">
        <f>IF($B13="","",IFERROR(_xlfn.XLOOKUP($B13,Members!$C:$C,Members!$B:$B),"NOT FOUND"))</f>
        <v>NOT FOUND</v>
      </c>
      <c r="E13" s="86">
        <v>45292</v>
      </c>
      <c r="F13" s="109">
        <v>2000000</v>
      </c>
      <c r="G13" s="83" t="s">
        <v>160</v>
      </c>
      <c r="H13" s="49">
        <f>IF(OR($B13="",$F13=""),"",$F13*IFERROR(IF(AND(_xlfn.XLOOKUP($B13,Members!$C:$C,Members!$H:$H)&lt;&gt;"",ISNUMBER(_xlfn.XLOOKUP($B13,Members!$C:$C,Members!$H:$H))),_xlfn.XLOOKUP($B13,Members!$C:$C,Members!$H:$H),IF(ISNUMBER(SEARCH("Diamond",J13)),Settings!$D$10,IF(ISNUMBER(SEARCH("Platinum",J13)),Settings!$C$10,Settings!$B$10))),0))</f>
        <v>0</v>
      </c>
      <c r="I13" s="110">
        <f t="shared" si="0"/>
        <v>2000000</v>
      </c>
      <c r="J13" s="48" t="str">
        <f>IF($B13="","",IFERROR(_xlfn.XLOOKUP($B13,Members!$C:$C,Members!$G:$G),""))</f>
        <v/>
      </c>
      <c r="K13" s="85" t="s">
        <v>148</v>
      </c>
      <c r="L13" s="83"/>
    </row>
    <row r="14" spans="1:12">
      <c r="A14" s="89" t="s">
        <v>159</v>
      </c>
      <c r="B14" s="99">
        <v>9876543210</v>
      </c>
      <c r="C14" s="111" t="str">
        <f>IF($B14="","",IFERROR(_xlfn.XLOOKUP($B14,Members!$C:$C,Members!$A:$A),"NOT FOUND"))</f>
        <v>NOT FOUND</v>
      </c>
      <c r="D14" s="112" t="str">
        <f>IF($B14="","",IFERROR(_xlfn.XLOOKUP($B14,Members!$C:$C,Members!$B:$B),"NOT FOUND"))</f>
        <v>NOT FOUND</v>
      </c>
      <c r="E14" s="92">
        <v>45292</v>
      </c>
      <c r="F14" s="113">
        <v>2000000</v>
      </c>
      <c r="G14" s="90" t="s">
        <v>160</v>
      </c>
      <c r="H14" s="103">
        <f>IF(OR($B14="",$F14=""),"",$F14*IFERROR(IF(AND(_xlfn.XLOOKUP($B14,Members!$C:$C,Members!$H:$H)&lt;&gt;"",ISNUMBER(_xlfn.XLOOKUP($B14,Members!$C:$C,Members!$H:$H))),_xlfn.XLOOKUP($B14,Members!$C:$C,Members!$H:$H),IF(ISNUMBER(SEARCH("Diamond",J14)),Settings!$D$10,IF(ISNUMBER(SEARCH("Platinum",J14)),Settings!$C$10,Settings!$B$10))),0))</f>
        <v>0</v>
      </c>
      <c r="I14" s="114">
        <f t="shared" si="0"/>
        <v>2000000</v>
      </c>
      <c r="J14" s="115" t="str">
        <f>IF($B14="","",IFERROR(_xlfn.XLOOKUP($B14,Members!$C:$C,Members!$G:$G),""))</f>
        <v/>
      </c>
      <c r="K14" s="91" t="s">
        <v>148</v>
      </c>
      <c r="L14" s="90"/>
    </row>
    <row r="15" spans="1:12">
      <c r="A15" s="84" t="s">
        <v>159</v>
      </c>
      <c r="B15" s="100">
        <v>9876543210</v>
      </c>
      <c r="C15" s="107" t="str">
        <f>IF($B15="","",IFERROR(_xlfn.XLOOKUP($B15,Members!$C:$C,Members!$A:$A),"NOT FOUND"))</f>
        <v>NOT FOUND</v>
      </c>
      <c r="D15" s="108" t="str">
        <f>IF($B15="","",IFERROR(_xlfn.XLOOKUP($B15,Members!$C:$C,Members!$B:$B),"NOT FOUND"))</f>
        <v>NOT FOUND</v>
      </c>
      <c r="E15" s="86">
        <v>45292</v>
      </c>
      <c r="F15" s="109">
        <v>2000000</v>
      </c>
      <c r="G15" s="83" t="s">
        <v>160</v>
      </c>
      <c r="H15" s="49">
        <f>IF(OR($B15="",$F15=""),"",$F15*IFERROR(IF(AND(_xlfn.XLOOKUP($B15,Members!$C:$C,Members!$H:$H)&lt;&gt;"",ISNUMBER(_xlfn.XLOOKUP($B15,Members!$C:$C,Members!$H:$H))),_xlfn.XLOOKUP($B15,Members!$C:$C,Members!$H:$H),IF(ISNUMBER(SEARCH("Diamond",J15)),Settings!$D$10,IF(ISNUMBER(SEARCH("Platinum",J15)),Settings!$C$10,Settings!$B$10))),0))</f>
        <v>0</v>
      </c>
      <c r="I15" s="110">
        <f t="shared" si="0"/>
        <v>2000000</v>
      </c>
      <c r="J15" s="48" t="str">
        <f>IF($B15="","",IFERROR(_xlfn.XLOOKUP($B15,Members!$C:$C,Members!$G:$G),""))</f>
        <v/>
      </c>
      <c r="K15" s="85" t="s">
        <v>148</v>
      </c>
      <c r="L15" s="83"/>
    </row>
    <row r="16" spans="1:12">
      <c r="A16" s="89" t="s">
        <v>159</v>
      </c>
      <c r="B16" s="99">
        <v>9876543210</v>
      </c>
      <c r="C16" s="111" t="str">
        <f>IF($B16="","",IFERROR(_xlfn.XLOOKUP($B16,Members!$C:$C,Members!$A:$A),"NOT FOUND"))</f>
        <v>NOT FOUND</v>
      </c>
      <c r="D16" s="112" t="str">
        <f>IF($B16="","",IFERROR(_xlfn.XLOOKUP($B16,Members!$C:$C,Members!$B:$B),"NOT FOUND"))</f>
        <v>NOT FOUND</v>
      </c>
      <c r="E16" s="92">
        <v>45292</v>
      </c>
      <c r="F16" s="113">
        <v>2000000</v>
      </c>
      <c r="G16" s="90" t="s">
        <v>160</v>
      </c>
      <c r="H16" s="103">
        <f>IF(OR($B16="",$F16=""),"",$F16*IFERROR(IF(AND(_xlfn.XLOOKUP($B16,Members!$C:$C,Members!$H:$H)&lt;&gt;"",ISNUMBER(_xlfn.XLOOKUP($B16,Members!$C:$C,Members!$H:$H))),_xlfn.XLOOKUP($B16,Members!$C:$C,Members!$H:$H),IF(ISNUMBER(SEARCH("Diamond",J16)),Settings!$D$10,IF(ISNUMBER(SEARCH("Platinum",J16)),Settings!$C$10,Settings!$B$10))),0))</f>
        <v>0</v>
      </c>
      <c r="I16" s="114">
        <f t="shared" si="0"/>
        <v>2000000</v>
      </c>
      <c r="J16" s="115" t="str">
        <f>IF($B16="","",IFERROR(_xlfn.XLOOKUP($B16,Members!$C:$C,Members!$G:$G),""))</f>
        <v/>
      </c>
      <c r="K16" s="91" t="s">
        <v>148</v>
      </c>
      <c r="L16" s="90"/>
    </row>
    <row r="17" spans="1:12">
      <c r="A17" s="84" t="s">
        <v>159</v>
      </c>
      <c r="B17" s="100">
        <v>9876543210</v>
      </c>
      <c r="C17" s="107" t="str">
        <f>IF($B17="","",IFERROR(_xlfn.XLOOKUP($B17,Members!$C:$C,Members!$A:$A),"NOT FOUND"))</f>
        <v>NOT FOUND</v>
      </c>
      <c r="D17" s="108" t="str">
        <f>IF($B17="","",IFERROR(_xlfn.XLOOKUP($B17,Members!$C:$C,Members!$B:$B),"NOT FOUND"))</f>
        <v>NOT FOUND</v>
      </c>
      <c r="E17" s="86">
        <v>45292</v>
      </c>
      <c r="F17" s="109">
        <v>2000000</v>
      </c>
      <c r="G17" s="83" t="s">
        <v>160</v>
      </c>
      <c r="H17" s="49">
        <f>IF(OR($B17="",$F17=""),"",$F17*IFERROR(IF(AND(_xlfn.XLOOKUP($B17,Members!$C:$C,Members!$H:$H)&lt;&gt;"",ISNUMBER(_xlfn.XLOOKUP($B17,Members!$C:$C,Members!$H:$H))),_xlfn.XLOOKUP($B17,Members!$C:$C,Members!$H:$H),IF(ISNUMBER(SEARCH("Diamond",J17)),Settings!$D$10,IF(ISNUMBER(SEARCH("Platinum",J17)),Settings!$C$10,Settings!$B$10))),0))</f>
        <v>0</v>
      </c>
      <c r="I17" s="110">
        <f t="shared" si="0"/>
        <v>2000000</v>
      </c>
      <c r="J17" s="48" t="str">
        <f>IF($B17="","",IFERROR(_xlfn.XLOOKUP($B17,Members!$C:$C,Members!$G:$G),""))</f>
        <v/>
      </c>
      <c r="K17" s="85" t="s">
        <v>148</v>
      </c>
      <c r="L17" s="83"/>
    </row>
    <row r="18" spans="1:12">
      <c r="A18" s="89" t="s">
        <v>159</v>
      </c>
      <c r="B18" s="99">
        <v>9876543210</v>
      </c>
      <c r="C18" s="111" t="str">
        <f>IF($B18="","",IFERROR(_xlfn.XLOOKUP($B18,Members!$C:$C,Members!$A:$A),"NOT FOUND"))</f>
        <v>NOT FOUND</v>
      </c>
      <c r="D18" s="112" t="str">
        <f>IF($B18="","",IFERROR(_xlfn.XLOOKUP($B18,Members!$C:$C,Members!$B:$B),"NOT FOUND"))</f>
        <v>NOT FOUND</v>
      </c>
      <c r="E18" s="92">
        <v>45292</v>
      </c>
      <c r="F18" s="113">
        <v>2000000</v>
      </c>
      <c r="G18" s="90" t="s">
        <v>160</v>
      </c>
      <c r="H18" s="103">
        <f>IF(OR($B18="",$F18=""),"",$F18*IFERROR(IF(AND(_xlfn.XLOOKUP($B18,Members!$C:$C,Members!$H:$H)&lt;&gt;"",ISNUMBER(_xlfn.XLOOKUP($B18,Members!$C:$C,Members!$H:$H))),_xlfn.XLOOKUP($B18,Members!$C:$C,Members!$H:$H),IF(ISNUMBER(SEARCH("Diamond",J18)),Settings!$D$10,IF(ISNUMBER(SEARCH("Platinum",J18)),Settings!$C$10,Settings!$B$10))),0))</f>
        <v>0</v>
      </c>
      <c r="I18" s="114">
        <f t="shared" si="0"/>
        <v>2000000</v>
      </c>
      <c r="J18" s="115" t="str">
        <f>IF($B18="","",IFERROR(_xlfn.XLOOKUP($B18,Members!$C:$C,Members!$G:$G),""))</f>
        <v/>
      </c>
      <c r="K18" s="91" t="s">
        <v>148</v>
      </c>
      <c r="L18" s="90"/>
    </row>
    <row r="19" spans="1:12">
      <c r="A19" s="84" t="s">
        <v>159</v>
      </c>
      <c r="B19" s="100">
        <v>9876543210</v>
      </c>
      <c r="C19" s="107" t="str">
        <f>IF($B19="","",IFERROR(_xlfn.XLOOKUP($B19,Members!$C:$C,Members!$A:$A),"NOT FOUND"))</f>
        <v>NOT FOUND</v>
      </c>
      <c r="D19" s="108" t="str">
        <f>IF($B19="","",IFERROR(_xlfn.XLOOKUP($B19,Members!$C:$C,Members!$B:$B),"NOT FOUND"))</f>
        <v>NOT FOUND</v>
      </c>
      <c r="E19" s="86">
        <v>45292</v>
      </c>
      <c r="F19" s="109">
        <v>2000000</v>
      </c>
      <c r="G19" s="83" t="s">
        <v>160</v>
      </c>
      <c r="H19" s="49">
        <f>IF(OR($B19="",$F19=""),"",$F19*IFERROR(IF(AND(_xlfn.XLOOKUP($B19,Members!$C:$C,Members!$H:$H)&lt;&gt;"",ISNUMBER(_xlfn.XLOOKUP($B19,Members!$C:$C,Members!$H:$H))),_xlfn.XLOOKUP($B19,Members!$C:$C,Members!$H:$H),IF(ISNUMBER(SEARCH("Diamond",J19)),Settings!$D$10,IF(ISNUMBER(SEARCH("Platinum",J19)),Settings!$C$10,Settings!$B$10))),0))</f>
        <v>0</v>
      </c>
      <c r="I19" s="110">
        <f t="shared" si="0"/>
        <v>2000000</v>
      </c>
      <c r="J19" s="48" t="str">
        <f>IF($B19="","",IFERROR(_xlfn.XLOOKUP($B19,Members!$C:$C,Members!$G:$G),""))</f>
        <v/>
      </c>
      <c r="K19" s="85" t="s">
        <v>148</v>
      </c>
      <c r="L19" s="83"/>
    </row>
    <row r="20" spans="1:12">
      <c r="A20" s="89" t="s">
        <v>159</v>
      </c>
      <c r="B20" s="99">
        <v>9876543210</v>
      </c>
      <c r="C20" s="111" t="str">
        <f>IF($B20="","",IFERROR(_xlfn.XLOOKUP($B20,Members!$C:$C,Members!$A:$A),"NOT FOUND"))</f>
        <v>NOT FOUND</v>
      </c>
      <c r="D20" s="112" t="str">
        <f>IF($B20="","",IFERROR(_xlfn.XLOOKUP($B20,Members!$C:$C,Members!$B:$B),"NOT FOUND"))</f>
        <v>NOT FOUND</v>
      </c>
      <c r="E20" s="92">
        <v>45292</v>
      </c>
      <c r="F20" s="113">
        <v>2000000</v>
      </c>
      <c r="G20" s="90" t="s">
        <v>160</v>
      </c>
      <c r="H20" s="103">
        <f>IF(OR($B20="",$F20=""),"",$F20*IFERROR(IF(AND(_xlfn.XLOOKUP($B20,Members!$C:$C,Members!$H:$H)&lt;&gt;"",ISNUMBER(_xlfn.XLOOKUP($B20,Members!$C:$C,Members!$H:$H))),_xlfn.XLOOKUP($B20,Members!$C:$C,Members!$H:$H),IF(ISNUMBER(SEARCH("Diamond",J20)),Settings!$D$10,IF(ISNUMBER(SEARCH("Platinum",J20)),Settings!$C$10,Settings!$B$10))),0))</f>
        <v>0</v>
      </c>
      <c r="I20" s="114">
        <f t="shared" si="0"/>
        <v>2000000</v>
      </c>
      <c r="J20" s="115" t="str">
        <f>IF($B20="","",IFERROR(_xlfn.XLOOKUP($B20,Members!$C:$C,Members!$G:$G),""))</f>
        <v/>
      </c>
      <c r="K20" s="91" t="s">
        <v>148</v>
      </c>
      <c r="L20" s="90"/>
    </row>
    <row r="21" spans="1:12">
      <c r="A21" s="84" t="s">
        <v>159</v>
      </c>
      <c r="B21" s="100">
        <v>9876543210</v>
      </c>
      <c r="C21" s="107" t="str">
        <f>IF($B21="","",IFERROR(_xlfn.XLOOKUP($B21,Members!$C:$C,Members!$A:$A),"NOT FOUND"))</f>
        <v>NOT FOUND</v>
      </c>
      <c r="D21" s="108" t="str">
        <f>IF($B21="","",IFERROR(_xlfn.XLOOKUP($B21,Members!$C:$C,Members!$B:$B),"NOT FOUND"))</f>
        <v>NOT FOUND</v>
      </c>
      <c r="E21" s="86">
        <v>45292</v>
      </c>
      <c r="F21" s="109">
        <v>2000000</v>
      </c>
      <c r="G21" s="83" t="s">
        <v>160</v>
      </c>
      <c r="H21" s="49">
        <f>IF(OR($B21="",$F21=""),"",$F21*IFERROR(IF(AND(_xlfn.XLOOKUP($B21,Members!$C:$C,Members!$H:$H)&lt;&gt;"",ISNUMBER(_xlfn.XLOOKUP($B21,Members!$C:$C,Members!$H:$H))),_xlfn.XLOOKUP($B21,Members!$C:$C,Members!$H:$H),IF(ISNUMBER(SEARCH("Diamond",J21)),Settings!$D$10,IF(ISNUMBER(SEARCH("Platinum",J21)),Settings!$C$10,Settings!$B$10))),0))</f>
        <v>0</v>
      </c>
      <c r="I21" s="110">
        <f t="shared" si="0"/>
        <v>2000000</v>
      </c>
      <c r="J21" s="48" t="str">
        <f>IF($B21="","",IFERROR(_xlfn.XLOOKUP($B21,Members!$C:$C,Members!$G:$G),""))</f>
        <v/>
      </c>
      <c r="K21" s="85" t="s">
        <v>148</v>
      </c>
      <c r="L21" s="83"/>
    </row>
    <row r="22" spans="1:12">
      <c r="A22" s="89" t="s">
        <v>159</v>
      </c>
      <c r="B22" s="99">
        <v>9876543210</v>
      </c>
      <c r="C22" s="111" t="str">
        <f>IF($B22="","",IFERROR(_xlfn.XLOOKUP($B22,Members!$C:$C,Members!$A:$A),"NOT FOUND"))</f>
        <v>NOT FOUND</v>
      </c>
      <c r="D22" s="112" t="str">
        <f>IF($B22="","",IFERROR(_xlfn.XLOOKUP($B22,Members!$C:$C,Members!$B:$B),"NOT FOUND"))</f>
        <v>NOT FOUND</v>
      </c>
      <c r="E22" s="92">
        <v>45292</v>
      </c>
      <c r="F22" s="113">
        <v>2000000</v>
      </c>
      <c r="G22" s="90" t="s">
        <v>160</v>
      </c>
      <c r="H22" s="103">
        <f>IF(OR($B22="",$F22=""),"",$F22*IFERROR(IF(AND(_xlfn.XLOOKUP($B22,Members!$C:$C,Members!$H:$H)&lt;&gt;"",ISNUMBER(_xlfn.XLOOKUP($B22,Members!$C:$C,Members!$H:$H))),_xlfn.XLOOKUP($B22,Members!$C:$C,Members!$H:$H),IF(ISNUMBER(SEARCH("Diamond",J22)),Settings!$D$10,IF(ISNUMBER(SEARCH("Platinum",J22)),Settings!$C$10,Settings!$B$10))),0))</f>
        <v>0</v>
      </c>
      <c r="I22" s="114">
        <f t="shared" si="0"/>
        <v>2000000</v>
      </c>
      <c r="J22" s="115" t="str">
        <f>IF($B22="","",IFERROR(_xlfn.XLOOKUP($B22,Members!$C:$C,Members!$G:$G),""))</f>
        <v/>
      </c>
      <c r="K22" s="91" t="s">
        <v>148</v>
      </c>
      <c r="L22" s="90"/>
    </row>
    <row r="23" spans="1:12">
      <c r="A23" s="84" t="s">
        <v>159</v>
      </c>
      <c r="B23" s="100">
        <v>9876543210</v>
      </c>
      <c r="C23" s="107" t="str">
        <f>IF($B23="","",IFERROR(_xlfn.XLOOKUP($B23,Members!$C:$C,Members!$A:$A),"NOT FOUND"))</f>
        <v>NOT FOUND</v>
      </c>
      <c r="D23" s="108" t="str">
        <f>IF($B23="","",IFERROR(_xlfn.XLOOKUP($B23,Members!$C:$C,Members!$B:$B),"NOT FOUND"))</f>
        <v>NOT FOUND</v>
      </c>
      <c r="E23" s="86">
        <v>45292</v>
      </c>
      <c r="F23" s="109">
        <v>2000000</v>
      </c>
      <c r="G23" s="83" t="s">
        <v>160</v>
      </c>
      <c r="H23" s="49">
        <f>IF(OR($B23="",$F23=""),"",$F23*IFERROR(IF(AND(_xlfn.XLOOKUP($B23,Members!$C:$C,Members!$H:$H)&lt;&gt;"",ISNUMBER(_xlfn.XLOOKUP($B23,Members!$C:$C,Members!$H:$H))),_xlfn.XLOOKUP($B23,Members!$C:$C,Members!$H:$H),IF(ISNUMBER(SEARCH("Diamond",J23)),Settings!$D$10,IF(ISNUMBER(SEARCH("Platinum",J23)),Settings!$C$10,Settings!$B$10))),0))</f>
        <v>0</v>
      </c>
      <c r="I23" s="110">
        <f t="shared" si="0"/>
        <v>2000000</v>
      </c>
      <c r="J23" s="48" t="str">
        <f>IF($B23="","",IFERROR(_xlfn.XLOOKUP($B23,Members!$C:$C,Members!$G:$G),""))</f>
        <v/>
      </c>
      <c r="K23" s="85" t="s">
        <v>148</v>
      </c>
      <c r="L23" s="83"/>
    </row>
    <row r="24" spans="1:12">
      <c r="A24" s="89" t="s">
        <v>159</v>
      </c>
      <c r="B24" s="99">
        <v>9876543210</v>
      </c>
      <c r="C24" s="111" t="str">
        <f>IF($B24="","",IFERROR(_xlfn.XLOOKUP($B24,Members!$C:$C,Members!$A:$A),"NOT FOUND"))</f>
        <v>NOT FOUND</v>
      </c>
      <c r="D24" s="112" t="str">
        <f>IF($B24="","",IFERROR(_xlfn.XLOOKUP($B24,Members!$C:$C,Members!$B:$B),"NOT FOUND"))</f>
        <v>NOT FOUND</v>
      </c>
      <c r="E24" s="92">
        <v>45292</v>
      </c>
      <c r="F24" s="113">
        <v>2000000</v>
      </c>
      <c r="G24" s="90" t="s">
        <v>160</v>
      </c>
      <c r="H24" s="103">
        <f>IF(OR($B24="",$F24=""),"",$F24*IFERROR(IF(AND(_xlfn.XLOOKUP($B24,Members!$C:$C,Members!$H:$H)&lt;&gt;"",ISNUMBER(_xlfn.XLOOKUP($B24,Members!$C:$C,Members!$H:$H))),_xlfn.XLOOKUP($B24,Members!$C:$C,Members!$H:$H),IF(ISNUMBER(SEARCH("Diamond",J24)),Settings!$D$10,IF(ISNUMBER(SEARCH("Platinum",J24)),Settings!$C$10,Settings!$B$10))),0))</f>
        <v>0</v>
      </c>
      <c r="I24" s="114">
        <f t="shared" si="0"/>
        <v>2000000</v>
      </c>
      <c r="J24" s="115" t="str">
        <f>IF($B24="","",IFERROR(_xlfn.XLOOKUP($B24,Members!$C:$C,Members!$G:$G),""))</f>
        <v/>
      </c>
      <c r="K24" s="91" t="s">
        <v>148</v>
      </c>
      <c r="L24" s="90"/>
    </row>
    <row r="25" spans="1:12">
      <c r="A25" s="84" t="s">
        <v>159</v>
      </c>
      <c r="B25" s="100">
        <v>9876543210</v>
      </c>
      <c r="C25" s="107" t="str">
        <f>IF($B25="","",IFERROR(_xlfn.XLOOKUP($B25,Members!$C:$C,Members!$A:$A),"NOT FOUND"))</f>
        <v>NOT FOUND</v>
      </c>
      <c r="D25" s="108" t="str">
        <f>IF($B25="","",IFERROR(_xlfn.XLOOKUP($B25,Members!$C:$C,Members!$B:$B),"NOT FOUND"))</f>
        <v>NOT FOUND</v>
      </c>
      <c r="E25" s="86">
        <v>45292</v>
      </c>
      <c r="F25" s="109">
        <v>2000000</v>
      </c>
      <c r="G25" s="83" t="s">
        <v>160</v>
      </c>
      <c r="H25" s="49">
        <f>IF(OR($B25="",$F25=""),"",$F25*IFERROR(IF(AND(_xlfn.XLOOKUP($B25,Members!$C:$C,Members!$H:$H)&lt;&gt;"",ISNUMBER(_xlfn.XLOOKUP($B25,Members!$C:$C,Members!$H:$H))),_xlfn.XLOOKUP($B25,Members!$C:$C,Members!$H:$H),IF(ISNUMBER(SEARCH("Diamond",J25)),Settings!$D$10,IF(ISNUMBER(SEARCH("Platinum",J25)),Settings!$C$10,Settings!$B$10))),0))</f>
        <v>0</v>
      </c>
      <c r="I25" s="110">
        <f t="shared" si="0"/>
        <v>2000000</v>
      </c>
      <c r="J25" s="48" t="str">
        <f>IF($B25="","",IFERROR(_xlfn.XLOOKUP($B25,Members!$C:$C,Members!$G:$G),""))</f>
        <v/>
      </c>
      <c r="K25" s="85" t="s">
        <v>148</v>
      </c>
      <c r="L25" s="83"/>
    </row>
    <row r="26" spans="1:12">
      <c r="A26" s="89" t="s">
        <v>159</v>
      </c>
      <c r="B26" s="99">
        <v>9876543210</v>
      </c>
      <c r="C26" s="111" t="str">
        <f>IF($B26="","",IFERROR(_xlfn.XLOOKUP($B26,Members!$C:$C,Members!$A:$A),"NOT FOUND"))</f>
        <v>NOT FOUND</v>
      </c>
      <c r="D26" s="112" t="str">
        <f>IF($B26="","",IFERROR(_xlfn.XLOOKUP($B26,Members!$C:$C,Members!$B:$B),"NOT FOUND"))</f>
        <v>NOT FOUND</v>
      </c>
      <c r="E26" s="92">
        <v>45292</v>
      </c>
      <c r="F26" s="113">
        <v>2000000</v>
      </c>
      <c r="G26" s="90" t="s">
        <v>160</v>
      </c>
      <c r="H26" s="103">
        <f>IF(OR($B26="",$F26=""),"",$F26*IFERROR(IF(AND(_xlfn.XLOOKUP($B26,Members!$C:$C,Members!$H:$H)&lt;&gt;"",ISNUMBER(_xlfn.XLOOKUP($B26,Members!$C:$C,Members!$H:$H))),_xlfn.XLOOKUP($B26,Members!$C:$C,Members!$H:$H),IF(ISNUMBER(SEARCH("Diamond",J26)),Settings!$D$10,IF(ISNUMBER(SEARCH("Platinum",J26)),Settings!$C$10,Settings!$B$10))),0))</f>
        <v>0</v>
      </c>
      <c r="I26" s="114">
        <f t="shared" si="0"/>
        <v>2000000</v>
      </c>
      <c r="J26" s="115" t="str">
        <f>IF($B26="","",IFERROR(_xlfn.XLOOKUP($B26,Members!$C:$C,Members!$G:$G),""))</f>
        <v/>
      </c>
      <c r="K26" s="91" t="s">
        <v>148</v>
      </c>
      <c r="L26" s="90"/>
    </row>
    <row r="27" spans="1:12">
      <c r="A27" s="84" t="s">
        <v>159</v>
      </c>
      <c r="B27" s="100">
        <v>9876543210</v>
      </c>
      <c r="C27" s="107" t="str">
        <f>IF($B27="","",IFERROR(_xlfn.XLOOKUP($B27,Members!$C:$C,Members!$A:$A),"NOT FOUND"))</f>
        <v>NOT FOUND</v>
      </c>
      <c r="D27" s="108" t="str">
        <f>IF($B27="","",IFERROR(_xlfn.XLOOKUP($B27,Members!$C:$C,Members!$B:$B),"NOT FOUND"))</f>
        <v>NOT FOUND</v>
      </c>
      <c r="E27" s="86">
        <v>45292</v>
      </c>
      <c r="F27" s="109">
        <v>2000000</v>
      </c>
      <c r="G27" s="83" t="s">
        <v>160</v>
      </c>
      <c r="H27" s="49">
        <f>IF(OR($B27="",$F27=""),"",$F27*IFERROR(IF(AND(_xlfn.XLOOKUP($B27,Members!$C:$C,Members!$H:$H)&lt;&gt;"",ISNUMBER(_xlfn.XLOOKUP($B27,Members!$C:$C,Members!$H:$H))),_xlfn.XLOOKUP($B27,Members!$C:$C,Members!$H:$H),IF(ISNUMBER(SEARCH("Diamond",J27)),Settings!$D$10,IF(ISNUMBER(SEARCH("Platinum",J27)),Settings!$C$10,Settings!$B$10))),0))</f>
        <v>0</v>
      </c>
      <c r="I27" s="110">
        <f t="shared" si="0"/>
        <v>2000000</v>
      </c>
      <c r="J27" s="48" t="str">
        <f>IF($B27="","",IFERROR(_xlfn.XLOOKUP($B27,Members!$C:$C,Members!$G:$G),""))</f>
        <v/>
      </c>
      <c r="K27" s="85" t="s">
        <v>148</v>
      </c>
      <c r="L27" s="83"/>
    </row>
    <row r="28" spans="1:12">
      <c r="A28" s="89" t="s">
        <v>159</v>
      </c>
      <c r="B28" s="99">
        <v>9876543210</v>
      </c>
      <c r="C28" s="111" t="str">
        <f>IF($B28="","",IFERROR(_xlfn.XLOOKUP($B28,Members!$C:$C,Members!$A:$A),"NOT FOUND"))</f>
        <v>NOT FOUND</v>
      </c>
      <c r="D28" s="112" t="str">
        <f>IF($B28="","",IFERROR(_xlfn.XLOOKUP($B28,Members!$C:$C,Members!$B:$B),"NOT FOUND"))</f>
        <v>NOT FOUND</v>
      </c>
      <c r="E28" s="92">
        <v>45292</v>
      </c>
      <c r="F28" s="113">
        <v>2000000</v>
      </c>
      <c r="G28" s="90" t="s">
        <v>160</v>
      </c>
      <c r="H28" s="103">
        <f>IF(OR($B28="",$F28=""),"",$F28*IFERROR(IF(AND(_xlfn.XLOOKUP($B28,Members!$C:$C,Members!$H:$H)&lt;&gt;"",ISNUMBER(_xlfn.XLOOKUP($B28,Members!$C:$C,Members!$H:$H))),_xlfn.XLOOKUP($B28,Members!$C:$C,Members!$H:$H),IF(ISNUMBER(SEARCH("Diamond",J28)),Settings!$D$10,IF(ISNUMBER(SEARCH("Platinum",J28)),Settings!$C$10,Settings!$B$10))),0))</f>
        <v>0</v>
      </c>
      <c r="I28" s="114">
        <f t="shared" si="0"/>
        <v>2000000</v>
      </c>
      <c r="J28" s="115" t="str">
        <f>IF($B28="","",IFERROR(_xlfn.XLOOKUP($B28,Members!$C:$C,Members!$G:$G),""))</f>
        <v/>
      </c>
      <c r="K28" s="91" t="s">
        <v>148</v>
      </c>
      <c r="L28" s="90"/>
    </row>
    <row r="29" spans="1:12">
      <c r="A29" s="84" t="s">
        <v>159</v>
      </c>
      <c r="B29" s="100">
        <v>9876543210</v>
      </c>
      <c r="C29" s="107" t="str">
        <f>IF($B29="","",IFERROR(_xlfn.XLOOKUP($B29,Members!$C:$C,Members!$A:$A),"NOT FOUND"))</f>
        <v>NOT FOUND</v>
      </c>
      <c r="D29" s="108" t="str">
        <f>IF($B29="","",IFERROR(_xlfn.XLOOKUP($B29,Members!$C:$C,Members!$B:$B),"NOT FOUND"))</f>
        <v>NOT FOUND</v>
      </c>
      <c r="E29" s="86">
        <v>45292</v>
      </c>
      <c r="F29" s="109">
        <v>2000000</v>
      </c>
      <c r="G29" s="83" t="s">
        <v>160</v>
      </c>
      <c r="H29" s="49">
        <f>IF(OR($B29="",$F29=""),"",$F29*IFERROR(IF(AND(_xlfn.XLOOKUP($B29,Members!$C:$C,Members!$H:$H)&lt;&gt;"",ISNUMBER(_xlfn.XLOOKUP($B29,Members!$C:$C,Members!$H:$H))),_xlfn.XLOOKUP($B29,Members!$C:$C,Members!$H:$H),IF(ISNUMBER(SEARCH("Diamond",J29)),Settings!$D$10,IF(ISNUMBER(SEARCH("Platinum",J29)),Settings!$C$10,Settings!$B$10))),0))</f>
        <v>0</v>
      </c>
      <c r="I29" s="110">
        <f t="shared" si="0"/>
        <v>2000000</v>
      </c>
      <c r="J29" s="48" t="str">
        <f>IF($B29="","",IFERROR(_xlfn.XLOOKUP($B29,Members!$C:$C,Members!$G:$G),""))</f>
        <v/>
      </c>
      <c r="K29" s="85" t="s">
        <v>148</v>
      </c>
      <c r="L29" s="83"/>
    </row>
    <row r="30" spans="1:12">
      <c r="A30" s="89" t="s">
        <v>159</v>
      </c>
      <c r="B30" s="99">
        <v>9876543210</v>
      </c>
      <c r="C30" s="111" t="str">
        <f>IF($B30="","",IFERROR(_xlfn.XLOOKUP($B30,Members!$C:$C,Members!$A:$A),"NOT FOUND"))</f>
        <v>NOT FOUND</v>
      </c>
      <c r="D30" s="112" t="str">
        <f>IF($B30="","",IFERROR(_xlfn.XLOOKUP($B30,Members!$C:$C,Members!$B:$B),"NOT FOUND"))</f>
        <v>NOT FOUND</v>
      </c>
      <c r="E30" s="92">
        <v>45292</v>
      </c>
      <c r="F30" s="113">
        <v>2000000</v>
      </c>
      <c r="G30" s="90" t="s">
        <v>160</v>
      </c>
      <c r="H30" s="103">
        <f>IF(OR($B30="",$F30=""),"",$F30*IFERROR(IF(AND(_xlfn.XLOOKUP($B30,Members!$C:$C,Members!$H:$H)&lt;&gt;"",ISNUMBER(_xlfn.XLOOKUP($B30,Members!$C:$C,Members!$H:$H))),_xlfn.XLOOKUP($B30,Members!$C:$C,Members!$H:$H),IF(ISNUMBER(SEARCH("Diamond",J30)),Settings!$D$10,IF(ISNUMBER(SEARCH("Platinum",J30)),Settings!$C$10,Settings!$B$10))),0))</f>
        <v>0</v>
      </c>
      <c r="I30" s="114">
        <f t="shared" si="0"/>
        <v>2000000</v>
      </c>
      <c r="J30" s="115" t="str">
        <f>IF($B30="","",IFERROR(_xlfn.XLOOKUP($B30,Members!$C:$C,Members!$G:$G),""))</f>
        <v/>
      </c>
      <c r="K30" s="91" t="s">
        <v>148</v>
      </c>
      <c r="L30" s="90"/>
    </row>
    <row r="31" spans="1:12">
      <c r="A31" s="84" t="s">
        <v>159</v>
      </c>
      <c r="B31" s="100">
        <v>9876543210</v>
      </c>
      <c r="C31" s="107" t="str">
        <f>IF($B31="","",IFERROR(_xlfn.XLOOKUP($B31,Members!$C:$C,Members!$A:$A),"NOT FOUND"))</f>
        <v>NOT FOUND</v>
      </c>
      <c r="D31" s="108" t="str">
        <f>IF($B31="","",IFERROR(_xlfn.XLOOKUP($B31,Members!$C:$C,Members!$B:$B),"NOT FOUND"))</f>
        <v>NOT FOUND</v>
      </c>
      <c r="E31" s="86">
        <v>45292</v>
      </c>
      <c r="F31" s="109">
        <v>2000000</v>
      </c>
      <c r="G31" s="83" t="s">
        <v>160</v>
      </c>
      <c r="H31" s="49">
        <f>IF(OR($B31="",$F31=""),"",$F31*IFERROR(IF(AND(_xlfn.XLOOKUP($B31,Members!$C:$C,Members!$H:$H)&lt;&gt;"",ISNUMBER(_xlfn.XLOOKUP($B31,Members!$C:$C,Members!$H:$H))),_xlfn.XLOOKUP($B31,Members!$C:$C,Members!$H:$H),IF(ISNUMBER(SEARCH("Diamond",J31)),Settings!$D$10,IF(ISNUMBER(SEARCH("Platinum",J31)),Settings!$C$10,Settings!$B$10))),0))</f>
        <v>0</v>
      </c>
      <c r="I31" s="110">
        <f t="shared" si="0"/>
        <v>2000000</v>
      </c>
      <c r="J31" s="48" t="str">
        <f>IF($B31="","",IFERROR(_xlfn.XLOOKUP($B31,Members!$C:$C,Members!$G:$G),""))</f>
        <v/>
      </c>
      <c r="K31" s="85" t="s">
        <v>148</v>
      </c>
      <c r="L31" s="83"/>
    </row>
    <row r="32" spans="1:12">
      <c r="A32" s="89" t="s">
        <v>159</v>
      </c>
      <c r="B32" s="99">
        <v>9876543210</v>
      </c>
      <c r="C32" s="111" t="str">
        <f>IF($B32="","",IFERROR(_xlfn.XLOOKUP($B32,Members!$C:$C,Members!$A:$A),"NOT FOUND"))</f>
        <v>NOT FOUND</v>
      </c>
      <c r="D32" s="112" t="str">
        <f>IF($B32="","",IFERROR(_xlfn.XLOOKUP($B32,Members!$C:$C,Members!$B:$B),"NOT FOUND"))</f>
        <v>NOT FOUND</v>
      </c>
      <c r="E32" s="92">
        <v>45292</v>
      </c>
      <c r="F32" s="113">
        <v>2000000</v>
      </c>
      <c r="G32" s="90" t="s">
        <v>160</v>
      </c>
      <c r="H32" s="103">
        <f>IF(OR($B32="",$F32=""),"",$F32*IFERROR(IF(AND(_xlfn.XLOOKUP($B32,Members!$C:$C,Members!$H:$H)&lt;&gt;"",ISNUMBER(_xlfn.XLOOKUP($B32,Members!$C:$C,Members!$H:$H))),_xlfn.XLOOKUP($B32,Members!$C:$C,Members!$H:$H),IF(ISNUMBER(SEARCH("Diamond",J32)),Settings!$D$10,IF(ISNUMBER(SEARCH("Platinum",J32)),Settings!$C$10,Settings!$B$10))),0))</f>
        <v>0</v>
      </c>
      <c r="I32" s="114">
        <f t="shared" si="0"/>
        <v>2000000</v>
      </c>
      <c r="J32" s="115" t="str">
        <f>IF($B32="","",IFERROR(_xlfn.XLOOKUP($B32,Members!$C:$C,Members!$G:$G),""))</f>
        <v/>
      </c>
      <c r="K32" s="91" t="s">
        <v>148</v>
      </c>
      <c r="L32" s="90"/>
    </row>
    <row r="33" spans="1:12">
      <c r="A33" s="84" t="s">
        <v>159</v>
      </c>
      <c r="B33" s="100">
        <v>9876543210</v>
      </c>
      <c r="C33" s="107" t="str">
        <f>IF($B33="","",IFERROR(_xlfn.XLOOKUP($B33,Members!$C:$C,Members!$A:$A),"NOT FOUND"))</f>
        <v>NOT FOUND</v>
      </c>
      <c r="D33" s="108" t="str">
        <f>IF($B33="","",IFERROR(_xlfn.XLOOKUP($B33,Members!$C:$C,Members!$B:$B),"NOT FOUND"))</f>
        <v>NOT FOUND</v>
      </c>
      <c r="E33" s="86">
        <v>45292</v>
      </c>
      <c r="F33" s="109">
        <v>2000000</v>
      </c>
      <c r="G33" s="83" t="s">
        <v>160</v>
      </c>
      <c r="H33" s="49">
        <f>IF(OR($B33="",$F33=""),"",$F33*IFERROR(IF(AND(_xlfn.XLOOKUP($B33,Members!$C:$C,Members!$H:$H)&lt;&gt;"",ISNUMBER(_xlfn.XLOOKUP($B33,Members!$C:$C,Members!$H:$H))),_xlfn.XLOOKUP($B33,Members!$C:$C,Members!$H:$H),IF(ISNUMBER(SEARCH("Diamond",J33)),Settings!$D$10,IF(ISNUMBER(SEARCH("Platinum",J33)),Settings!$C$10,Settings!$B$10))),0))</f>
        <v>0</v>
      </c>
      <c r="I33" s="110">
        <f t="shared" si="0"/>
        <v>2000000</v>
      </c>
      <c r="J33" s="48" t="str">
        <f>IF($B33="","",IFERROR(_xlfn.XLOOKUP($B33,Members!$C:$C,Members!$G:$G),""))</f>
        <v/>
      </c>
      <c r="K33" s="85" t="s">
        <v>148</v>
      </c>
      <c r="L33" s="83"/>
    </row>
    <row r="34" spans="1:12">
      <c r="A34" s="89" t="s">
        <v>159</v>
      </c>
      <c r="B34" s="99">
        <v>9876543210</v>
      </c>
      <c r="C34" s="111" t="str">
        <f>IF($B34="","",IFERROR(_xlfn.XLOOKUP($B34,Members!$C:$C,Members!$A:$A),"NOT FOUND"))</f>
        <v>NOT FOUND</v>
      </c>
      <c r="D34" s="112" t="str">
        <f>IF($B34="","",IFERROR(_xlfn.XLOOKUP($B34,Members!$C:$C,Members!$B:$B),"NOT FOUND"))</f>
        <v>NOT FOUND</v>
      </c>
      <c r="E34" s="92">
        <v>45292</v>
      </c>
      <c r="F34" s="113">
        <v>2000000</v>
      </c>
      <c r="G34" s="90" t="s">
        <v>160</v>
      </c>
      <c r="H34" s="103">
        <f>IF(OR($B34="",$F34=""),"",$F34*IFERROR(IF(AND(_xlfn.XLOOKUP($B34,Members!$C:$C,Members!$H:$H)&lt;&gt;"",ISNUMBER(_xlfn.XLOOKUP($B34,Members!$C:$C,Members!$H:$H))),_xlfn.XLOOKUP($B34,Members!$C:$C,Members!$H:$H),IF(ISNUMBER(SEARCH("Diamond",J34)),Settings!$D$10,IF(ISNUMBER(SEARCH("Platinum",J34)),Settings!$C$10,Settings!$B$10))),0))</f>
        <v>0</v>
      </c>
      <c r="I34" s="114">
        <f t="shared" si="0"/>
        <v>2000000</v>
      </c>
      <c r="J34" s="115" t="str">
        <f>IF($B34="","",IFERROR(_xlfn.XLOOKUP($B34,Members!$C:$C,Members!$G:$G),""))</f>
        <v/>
      </c>
      <c r="K34" s="91" t="s">
        <v>148</v>
      </c>
      <c r="L34" s="90"/>
    </row>
    <row r="35" spans="1:12">
      <c r="A35" s="84" t="s">
        <v>159</v>
      </c>
      <c r="B35" s="100">
        <v>9876543210</v>
      </c>
      <c r="C35" s="107" t="str">
        <f>IF($B35="","",IFERROR(_xlfn.XLOOKUP($B35,Members!$C:$C,Members!$A:$A),"NOT FOUND"))</f>
        <v>NOT FOUND</v>
      </c>
      <c r="D35" s="108" t="str">
        <f>IF($B35="","",IFERROR(_xlfn.XLOOKUP($B35,Members!$C:$C,Members!$B:$B),"NOT FOUND"))</f>
        <v>NOT FOUND</v>
      </c>
      <c r="E35" s="86">
        <v>45292</v>
      </c>
      <c r="F35" s="109">
        <v>2000000</v>
      </c>
      <c r="G35" s="83" t="s">
        <v>160</v>
      </c>
      <c r="H35" s="49">
        <f>IF(OR($B35="",$F35=""),"",$F35*IFERROR(IF(AND(_xlfn.XLOOKUP($B35,Members!$C:$C,Members!$H:$H)&lt;&gt;"",ISNUMBER(_xlfn.XLOOKUP($B35,Members!$C:$C,Members!$H:$H))),_xlfn.XLOOKUP($B35,Members!$C:$C,Members!$H:$H),IF(ISNUMBER(SEARCH("Diamond",J35)),Settings!$D$10,IF(ISNUMBER(SEARCH("Platinum",J35)),Settings!$C$10,Settings!$B$10))),0))</f>
        <v>0</v>
      </c>
      <c r="I35" s="110">
        <f t="shared" si="0"/>
        <v>2000000</v>
      </c>
      <c r="J35" s="48" t="str">
        <f>IF($B35="","",IFERROR(_xlfn.XLOOKUP($B35,Members!$C:$C,Members!$G:$G),""))</f>
        <v/>
      </c>
      <c r="K35" s="85" t="s">
        <v>148</v>
      </c>
      <c r="L35" s="83"/>
    </row>
    <row r="36" spans="1:12">
      <c r="A36" s="89" t="s">
        <v>159</v>
      </c>
      <c r="B36" s="99">
        <v>9876543210</v>
      </c>
      <c r="C36" s="111" t="str">
        <f>IF($B36="","",IFERROR(_xlfn.XLOOKUP($B36,Members!$C:$C,Members!$A:$A),"NOT FOUND"))</f>
        <v>NOT FOUND</v>
      </c>
      <c r="D36" s="112" t="str">
        <f>IF($B36="","",IFERROR(_xlfn.XLOOKUP($B36,Members!$C:$C,Members!$B:$B),"NOT FOUND"))</f>
        <v>NOT FOUND</v>
      </c>
      <c r="E36" s="92">
        <v>45292</v>
      </c>
      <c r="F36" s="113">
        <v>2000000</v>
      </c>
      <c r="G36" s="90" t="s">
        <v>160</v>
      </c>
      <c r="H36" s="103">
        <f>IF(OR($B36="",$F36=""),"",$F36*IFERROR(IF(AND(_xlfn.XLOOKUP($B36,Members!$C:$C,Members!$H:$H)&lt;&gt;"",ISNUMBER(_xlfn.XLOOKUP($B36,Members!$C:$C,Members!$H:$H))),_xlfn.XLOOKUP($B36,Members!$C:$C,Members!$H:$H),IF(ISNUMBER(SEARCH("Diamond",J36)),Settings!$D$10,IF(ISNUMBER(SEARCH("Platinum",J36)),Settings!$C$10,Settings!$B$10))),0))</f>
        <v>0</v>
      </c>
      <c r="I36" s="114">
        <f t="shared" si="0"/>
        <v>2000000</v>
      </c>
      <c r="J36" s="115" t="str">
        <f>IF($B36="","",IFERROR(_xlfn.XLOOKUP($B36,Members!$C:$C,Members!$G:$G),""))</f>
        <v/>
      </c>
      <c r="K36" s="91" t="s">
        <v>148</v>
      </c>
      <c r="L36" s="90"/>
    </row>
    <row r="37" spans="1:12">
      <c r="A37" s="84" t="s">
        <v>159</v>
      </c>
      <c r="B37" s="100">
        <v>9876543210</v>
      </c>
      <c r="C37" s="107" t="str">
        <f>IF($B37="","",IFERROR(_xlfn.XLOOKUP($B37,Members!$C:$C,Members!$A:$A),"NOT FOUND"))</f>
        <v>NOT FOUND</v>
      </c>
      <c r="D37" s="108" t="str">
        <f>IF($B37="","",IFERROR(_xlfn.XLOOKUP($B37,Members!$C:$C,Members!$B:$B),"NOT FOUND"))</f>
        <v>NOT FOUND</v>
      </c>
      <c r="E37" s="86">
        <v>45292</v>
      </c>
      <c r="F37" s="109">
        <v>2000000</v>
      </c>
      <c r="G37" s="83" t="s">
        <v>160</v>
      </c>
      <c r="H37" s="49">
        <f>IF(OR($B37="",$F37=""),"",$F37*IFERROR(IF(AND(_xlfn.XLOOKUP($B37,Members!$C:$C,Members!$H:$H)&lt;&gt;"",ISNUMBER(_xlfn.XLOOKUP($B37,Members!$C:$C,Members!$H:$H))),_xlfn.XLOOKUP($B37,Members!$C:$C,Members!$H:$H),IF(ISNUMBER(SEARCH("Diamond",J37)),Settings!$D$10,IF(ISNUMBER(SEARCH("Platinum",J37)),Settings!$C$10,Settings!$B$10))),0))</f>
        <v>0</v>
      </c>
      <c r="I37" s="110">
        <f t="shared" si="0"/>
        <v>2000000</v>
      </c>
      <c r="J37" s="48" t="str">
        <f>IF($B37="","",IFERROR(_xlfn.XLOOKUP($B37,Members!$C:$C,Members!$G:$G),""))</f>
        <v/>
      </c>
      <c r="K37" s="85" t="s">
        <v>148</v>
      </c>
      <c r="L37" s="83"/>
    </row>
    <row r="38" spans="1:12">
      <c r="A38" s="89" t="s">
        <v>159</v>
      </c>
      <c r="B38" s="99">
        <v>9876543210</v>
      </c>
      <c r="C38" s="111" t="str">
        <f>IF($B38="","",IFERROR(_xlfn.XLOOKUP($B38,Members!$C:$C,Members!$A:$A),"NOT FOUND"))</f>
        <v>NOT FOUND</v>
      </c>
      <c r="D38" s="112" t="str">
        <f>IF($B38="","",IFERROR(_xlfn.XLOOKUP($B38,Members!$C:$C,Members!$B:$B),"NOT FOUND"))</f>
        <v>NOT FOUND</v>
      </c>
      <c r="E38" s="92">
        <v>45292</v>
      </c>
      <c r="F38" s="113">
        <v>2000000</v>
      </c>
      <c r="G38" s="90" t="s">
        <v>160</v>
      </c>
      <c r="H38" s="103">
        <f>IF(OR($B38="",$F38=""),"",$F38*IFERROR(IF(AND(_xlfn.XLOOKUP($B38,Members!$C:$C,Members!$H:$H)&lt;&gt;"",ISNUMBER(_xlfn.XLOOKUP($B38,Members!$C:$C,Members!$H:$H))),_xlfn.XLOOKUP($B38,Members!$C:$C,Members!$H:$H),IF(ISNUMBER(SEARCH("Diamond",J38)),Settings!$D$10,IF(ISNUMBER(SEARCH("Platinum",J38)),Settings!$C$10,Settings!$B$10))),0))</f>
        <v>0</v>
      </c>
      <c r="I38" s="114">
        <f t="shared" si="0"/>
        <v>2000000</v>
      </c>
      <c r="J38" s="115" t="str">
        <f>IF($B38="","",IFERROR(_xlfn.XLOOKUP($B38,Members!$C:$C,Members!$G:$G),""))</f>
        <v/>
      </c>
      <c r="K38" s="91" t="s">
        <v>148</v>
      </c>
      <c r="L38" s="90"/>
    </row>
    <row r="39" spans="1:12">
      <c r="A39" s="84" t="s">
        <v>159</v>
      </c>
      <c r="B39" s="100">
        <v>9876543210</v>
      </c>
      <c r="C39" s="107" t="str">
        <f>IF($B39="","",IFERROR(_xlfn.XLOOKUP($B39,Members!$C:$C,Members!$A:$A),"NOT FOUND"))</f>
        <v>NOT FOUND</v>
      </c>
      <c r="D39" s="108" t="str">
        <f>IF($B39="","",IFERROR(_xlfn.XLOOKUP($B39,Members!$C:$C,Members!$B:$B),"NOT FOUND"))</f>
        <v>NOT FOUND</v>
      </c>
      <c r="E39" s="86">
        <v>45292</v>
      </c>
      <c r="F39" s="109">
        <v>2000000</v>
      </c>
      <c r="G39" s="83" t="s">
        <v>160</v>
      </c>
      <c r="H39" s="49">
        <f>IF(OR($B39="",$F39=""),"",$F39*IFERROR(IF(AND(_xlfn.XLOOKUP($B39,Members!$C:$C,Members!$H:$H)&lt;&gt;"",ISNUMBER(_xlfn.XLOOKUP($B39,Members!$C:$C,Members!$H:$H))),_xlfn.XLOOKUP($B39,Members!$C:$C,Members!$H:$H),IF(ISNUMBER(SEARCH("Diamond",J39)),Settings!$D$10,IF(ISNUMBER(SEARCH("Platinum",J39)),Settings!$C$10,Settings!$B$10))),0))</f>
        <v>0</v>
      </c>
      <c r="I39" s="110">
        <f t="shared" si="0"/>
        <v>2000000</v>
      </c>
      <c r="J39" s="48" t="str">
        <f>IF($B39="","",IFERROR(_xlfn.XLOOKUP($B39,Members!$C:$C,Members!$G:$G),""))</f>
        <v/>
      </c>
      <c r="K39" s="85" t="s">
        <v>148</v>
      </c>
      <c r="L39" s="83"/>
    </row>
    <row r="40" spans="1:12">
      <c r="A40" s="89" t="s">
        <v>159</v>
      </c>
      <c r="B40" s="99">
        <v>9876543210</v>
      </c>
      <c r="C40" s="111" t="str">
        <f>IF($B40="","",IFERROR(_xlfn.XLOOKUP($B40,Members!$C:$C,Members!$A:$A),"NOT FOUND"))</f>
        <v>NOT FOUND</v>
      </c>
      <c r="D40" s="112" t="str">
        <f>IF($B40="","",IFERROR(_xlfn.XLOOKUP($B40,Members!$C:$C,Members!$B:$B),"NOT FOUND"))</f>
        <v>NOT FOUND</v>
      </c>
      <c r="E40" s="92">
        <v>45292</v>
      </c>
      <c r="F40" s="113">
        <v>2000000</v>
      </c>
      <c r="G40" s="90" t="s">
        <v>160</v>
      </c>
      <c r="H40" s="103">
        <f>IF(OR($B40="",$F40=""),"",$F40*IFERROR(IF(AND(_xlfn.XLOOKUP($B40,Members!$C:$C,Members!$H:$H)&lt;&gt;"",ISNUMBER(_xlfn.XLOOKUP($B40,Members!$C:$C,Members!$H:$H))),_xlfn.XLOOKUP($B40,Members!$C:$C,Members!$H:$H),IF(ISNUMBER(SEARCH("Diamond",J40)),Settings!$D$10,IF(ISNUMBER(SEARCH("Platinum",J40)),Settings!$C$10,Settings!$B$10))),0))</f>
        <v>0</v>
      </c>
      <c r="I40" s="114">
        <f t="shared" si="0"/>
        <v>2000000</v>
      </c>
      <c r="J40" s="115" t="str">
        <f>IF($B40="","",IFERROR(_xlfn.XLOOKUP($B40,Members!$C:$C,Members!$G:$G),""))</f>
        <v/>
      </c>
      <c r="K40" s="91" t="s">
        <v>148</v>
      </c>
      <c r="L40" s="90"/>
    </row>
    <row r="41" spans="1:12">
      <c r="A41" s="84" t="s">
        <v>159</v>
      </c>
      <c r="B41" s="100">
        <v>9876543210</v>
      </c>
      <c r="C41" s="107" t="str">
        <f>IF($B41="","",IFERROR(_xlfn.XLOOKUP($B41,Members!$C:$C,Members!$A:$A),"NOT FOUND"))</f>
        <v>NOT FOUND</v>
      </c>
      <c r="D41" s="108" t="str">
        <f>IF($B41="","",IFERROR(_xlfn.XLOOKUP($B41,Members!$C:$C,Members!$B:$B),"NOT FOUND"))</f>
        <v>NOT FOUND</v>
      </c>
      <c r="E41" s="86">
        <v>45292</v>
      </c>
      <c r="F41" s="109">
        <v>2000000</v>
      </c>
      <c r="G41" s="83" t="s">
        <v>160</v>
      </c>
      <c r="H41" s="49">
        <f>IF(OR($B41="",$F41=""),"",$F41*IFERROR(IF(AND(_xlfn.XLOOKUP($B41,Members!$C:$C,Members!$H:$H)&lt;&gt;"",ISNUMBER(_xlfn.XLOOKUP($B41,Members!$C:$C,Members!$H:$H))),_xlfn.XLOOKUP($B41,Members!$C:$C,Members!$H:$H),IF(ISNUMBER(SEARCH("Diamond",J41)),Settings!$D$10,IF(ISNUMBER(SEARCH("Platinum",J41)),Settings!$C$10,Settings!$B$10))),0))</f>
        <v>0</v>
      </c>
      <c r="I41" s="110">
        <f t="shared" si="0"/>
        <v>2000000</v>
      </c>
      <c r="J41" s="48" t="str">
        <f>IF($B41="","",IFERROR(_xlfn.XLOOKUP($B41,Members!$C:$C,Members!$G:$G),""))</f>
        <v/>
      </c>
      <c r="K41" s="85" t="s">
        <v>148</v>
      </c>
      <c r="L41" s="83"/>
    </row>
    <row r="42" spans="1:12">
      <c r="A42" s="89" t="s">
        <v>159</v>
      </c>
      <c r="B42" s="99">
        <v>9876543210</v>
      </c>
      <c r="C42" s="111" t="str">
        <f>IF($B42="","",IFERROR(_xlfn.XLOOKUP($B42,Members!$C:$C,Members!$A:$A),"NOT FOUND"))</f>
        <v>NOT FOUND</v>
      </c>
      <c r="D42" s="112" t="str">
        <f>IF($B42="","",IFERROR(_xlfn.XLOOKUP($B42,Members!$C:$C,Members!$B:$B),"NOT FOUND"))</f>
        <v>NOT FOUND</v>
      </c>
      <c r="E42" s="92">
        <v>45292</v>
      </c>
      <c r="F42" s="113">
        <v>2000000</v>
      </c>
      <c r="G42" s="90" t="s">
        <v>160</v>
      </c>
      <c r="H42" s="103">
        <f>IF(OR($B42="",$F42=""),"",$F42*IFERROR(IF(AND(_xlfn.XLOOKUP($B42,Members!$C:$C,Members!$H:$H)&lt;&gt;"",ISNUMBER(_xlfn.XLOOKUP($B42,Members!$C:$C,Members!$H:$H))),_xlfn.XLOOKUP($B42,Members!$C:$C,Members!$H:$H),IF(ISNUMBER(SEARCH("Diamond",J42)),Settings!$D$10,IF(ISNUMBER(SEARCH("Platinum",J42)),Settings!$C$10,Settings!$B$10))),0))</f>
        <v>0</v>
      </c>
      <c r="I42" s="114">
        <f t="shared" si="0"/>
        <v>2000000</v>
      </c>
      <c r="J42" s="115" t="str">
        <f>IF($B42="","",IFERROR(_xlfn.XLOOKUP($B42,Members!$C:$C,Members!$G:$G),""))</f>
        <v/>
      </c>
      <c r="K42" s="91" t="s">
        <v>148</v>
      </c>
      <c r="L42" s="90"/>
    </row>
    <row r="43" spans="1:12">
      <c r="A43" s="84" t="s">
        <v>159</v>
      </c>
      <c r="B43" s="100">
        <v>9876543210</v>
      </c>
      <c r="C43" s="107" t="str">
        <f>IF($B43="","",IFERROR(_xlfn.XLOOKUP($B43,Members!$C:$C,Members!$A:$A),"NOT FOUND"))</f>
        <v>NOT FOUND</v>
      </c>
      <c r="D43" s="108" t="str">
        <f>IF($B43="","",IFERROR(_xlfn.XLOOKUP($B43,Members!$C:$C,Members!$B:$B),"NOT FOUND"))</f>
        <v>NOT FOUND</v>
      </c>
      <c r="E43" s="86">
        <v>45292</v>
      </c>
      <c r="F43" s="109">
        <v>2000000</v>
      </c>
      <c r="G43" s="83" t="s">
        <v>160</v>
      </c>
      <c r="H43" s="49">
        <f>IF(OR($B43="",$F43=""),"",$F43*IFERROR(IF(AND(_xlfn.XLOOKUP($B43,Members!$C:$C,Members!$H:$H)&lt;&gt;"",ISNUMBER(_xlfn.XLOOKUP($B43,Members!$C:$C,Members!$H:$H))),_xlfn.XLOOKUP($B43,Members!$C:$C,Members!$H:$H),IF(ISNUMBER(SEARCH("Diamond",J43)),Settings!$D$10,IF(ISNUMBER(SEARCH("Platinum",J43)),Settings!$C$10,Settings!$B$10))),0))</f>
        <v>0</v>
      </c>
      <c r="I43" s="110">
        <f t="shared" si="0"/>
        <v>2000000</v>
      </c>
      <c r="J43" s="48" t="str">
        <f>IF($B43="","",IFERROR(_xlfn.XLOOKUP($B43,Members!$C:$C,Members!$G:$G),""))</f>
        <v/>
      </c>
      <c r="K43" s="85" t="s">
        <v>148</v>
      </c>
      <c r="L43" s="83"/>
    </row>
    <row r="44" spans="1:12">
      <c r="A44" s="89" t="s">
        <v>159</v>
      </c>
      <c r="B44" s="99">
        <v>9876543210</v>
      </c>
      <c r="C44" s="111" t="str">
        <f>IF($B44="","",IFERROR(_xlfn.XLOOKUP($B44,Members!$C:$C,Members!$A:$A),"NOT FOUND"))</f>
        <v>NOT FOUND</v>
      </c>
      <c r="D44" s="112" t="str">
        <f>IF($B44="","",IFERROR(_xlfn.XLOOKUP($B44,Members!$C:$C,Members!$B:$B),"NOT FOUND"))</f>
        <v>NOT FOUND</v>
      </c>
      <c r="E44" s="92">
        <v>45292</v>
      </c>
      <c r="F44" s="113">
        <v>2000000</v>
      </c>
      <c r="G44" s="90" t="s">
        <v>160</v>
      </c>
      <c r="H44" s="103">
        <f>IF(OR($B44="",$F44=""),"",$F44*IFERROR(IF(AND(_xlfn.XLOOKUP($B44,Members!$C:$C,Members!$H:$H)&lt;&gt;"",ISNUMBER(_xlfn.XLOOKUP($B44,Members!$C:$C,Members!$H:$H))),_xlfn.XLOOKUP($B44,Members!$C:$C,Members!$H:$H),IF(ISNUMBER(SEARCH("Diamond",J44)),Settings!$D$10,IF(ISNUMBER(SEARCH("Platinum",J44)),Settings!$C$10,Settings!$B$10))),0))</f>
        <v>0</v>
      </c>
      <c r="I44" s="114">
        <f t="shared" si="0"/>
        <v>2000000</v>
      </c>
      <c r="J44" s="115" t="str">
        <f>IF($B44="","",IFERROR(_xlfn.XLOOKUP($B44,Members!$C:$C,Members!$G:$G),""))</f>
        <v/>
      </c>
      <c r="K44" s="91" t="s">
        <v>148</v>
      </c>
      <c r="L44" s="90"/>
    </row>
    <row r="45" spans="1:12">
      <c r="A45" s="84" t="s">
        <v>159</v>
      </c>
      <c r="B45" s="100">
        <v>9876543210</v>
      </c>
      <c r="C45" s="107" t="str">
        <f>IF($B45="","",IFERROR(_xlfn.XLOOKUP($B45,Members!$C:$C,Members!$A:$A),"NOT FOUND"))</f>
        <v>NOT FOUND</v>
      </c>
      <c r="D45" s="108" t="str">
        <f>IF($B45="","",IFERROR(_xlfn.XLOOKUP($B45,Members!$C:$C,Members!$B:$B),"NOT FOUND"))</f>
        <v>NOT FOUND</v>
      </c>
      <c r="E45" s="86">
        <v>45292</v>
      </c>
      <c r="F45" s="109">
        <v>2000000</v>
      </c>
      <c r="G45" s="83" t="s">
        <v>160</v>
      </c>
      <c r="H45" s="49">
        <f>IF(OR($B45="",$F45=""),"",$F45*IFERROR(IF(AND(_xlfn.XLOOKUP($B45,Members!$C:$C,Members!$H:$H)&lt;&gt;"",ISNUMBER(_xlfn.XLOOKUP($B45,Members!$C:$C,Members!$H:$H))),_xlfn.XLOOKUP($B45,Members!$C:$C,Members!$H:$H),IF(ISNUMBER(SEARCH("Diamond",J45)),Settings!$D$10,IF(ISNUMBER(SEARCH("Platinum",J45)),Settings!$C$10,Settings!$B$10))),0))</f>
        <v>0</v>
      </c>
      <c r="I45" s="110">
        <f t="shared" si="0"/>
        <v>2000000</v>
      </c>
      <c r="J45" s="48" t="str">
        <f>IF($B45="","",IFERROR(_xlfn.XLOOKUP($B45,Members!$C:$C,Members!$G:$G),""))</f>
        <v/>
      </c>
      <c r="K45" s="85" t="s">
        <v>148</v>
      </c>
      <c r="L45" s="83"/>
    </row>
    <row r="46" spans="1:12">
      <c r="A46" s="89" t="s">
        <v>159</v>
      </c>
      <c r="B46" s="99">
        <v>9876543210</v>
      </c>
      <c r="C46" s="111" t="str">
        <f>IF($B46="","",IFERROR(_xlfn.XLOOKUP($B46,Members!$C:$C,Members!$A:$A),"NOT FOUND"))</f>
        <v>NOT FOUND</v>
      </c>
      <c r="D46" s="112" t="str">
        <f>IF($B46="","",IFERROR(_xlfn.XLOOKUP($B46,Members!$C:$C,Members!$B:$B),"NOT FOUND"))</f>
        <v>NOT FOUND</v>
      </c>
      <c r="E46" s="92">
        <v>45292</v>
      </c>
      <c r="F46" s="113">
        <v>2000000</v>
      </c>
      <c r="G46" s="90" t="s">
        <v>160</v>
      </c>
      <c r="H46" s="103">
        <f>IF(OR($B46="",$F46=""),"",$F46*IFERROR(IF(AND(_xlfn.XLOOKUP($B46,Members!$C:$C,Members!$H:$H)&lt;&gt;"",ISNUMBER(_xlfn.XLOOKUP($B46,Members!$C:$C,Members!$H:$H))),_xlfn.XLOOKUP($B46,Members!$C:$C,Members!$H:$H),IF(ISNUMBER(SEARCH("Diamond",J46)),Settings!$D$10,IF(ISNUMBER(SEARCH("Platinum",J46)),Settings!$C$10,Settings!$B$10))),0))</f>
        <v>0</v>
      </c>
      <c r="I46" s="114">
        <f t="shared" si="0"/>
        <v>2000000</v>
      </c>
      <c r="J46" s="115" t="str">
        <f>IF($B46="","",IFERROR(_xlfn.XLOOKUP($B46,Members!$C:$C,Members!$G:$G),""))</f>
        <v/>
      </c>
      <c r="K46" s="91" t="s">
        <v>148</v>
      </c>
      <c r="L46" s="90"/>
    </row>
    <row r="47" spans="1:12">
      <c r="A47" s="84" t="s">
        <v>159</v>
      </c>
      <c r="B47" s="100">
        <v>9876543210</v>
      </c>
      <c r="C47" s="107" t="str">
        <f>IF($B47="","",IFERROR(_xlfn.XLOOKUP($B47,Members!$C:$C,Members!$A:$A),"NOT FOUND"))</f>
        <v>NOT FOUND</v>
      </c>
      <c r="D47" s="108" t="str">
        <f>IF($B47="","",IFERROR(_xlfn.XLOOKUP($B47,Members!$C:$C,Members!$B:$B),"NOT FOUND"))</f>
        <v>NOT FOUND</v>
      </c>
      <c r="E47" s="86">
        <v>45292</v>
      </c>
      <c r="F47" s="109">
        <v>2000000</v>
      </c>
      <c r="G47" s="83" t="s">
        <v>160</v>
      </c>
      <c r="H47" s="49">
        <f>IF(OR($B47="",$F47=""),"",$F47*IFERROR(IF(AND(_xlfn.XLOOKUP($B47,Members!$C:$C,Members!$H:$H)&lt;&gt;"",ISNUMBER(_xlfn.XLOOKUP($B47,Members!$C:$C,Members!$H:$H))),_xlfn.XLOOKUP($B47,Members!$C:$C,Members!$H:$H),IF(ISNUMBER(SEARCH("Diamond",J47)),Settings!$D$10,IF(ISNUMBER(SEARCH("Platinum",J47)),Settings!$C$10,Settings!$B$10))),0))</f>
        <v>0</v>
      </c>
      <c r="I47" s="110">
        <f t="shared" si="0"/>
        <v>2000000</v>
      </c>
      <c r="J47" s="48" t="str">
        <f>IF($B47="","",IFERROR(_xlfn.XLOOKUP($B47,Members!$C:$C,Members!$G:$G),""))</f>
        <v/>
      </c>
      <c r="K47" s="85" t="s">
        <v>148</v>
      </c>
      <c r="L47" s="83"/>
    </row>
    <row r="48" spans="1:12">
      <c r="A48" s="89" t="s">
        <v>159</v>
      </c>
      <c r="B48" s="99">
        <v>9876543210</v>
      </c>
      <c r="C48" s="111" t="str">
        <f>IF($B48="","",IFERROR(_xlfn.XLOOKUP($B48,Members!$C:$C,Members!$A:$A),"NOT FOUND"))</f>
        <v>NOT FOUND</v>
      </c>
      <c r="D48" s="112" t="str">
        <f>IF($B48="","",IFERROR(_xlfn.XLOOKUP($B48,Members!$C:$C,Members!$B:$B),"NOT FOUND"))</f>
        <v>NOT FOUND</v>
      </c>
      <c r="E48" s="92">
        <v>45292</v>
      </c>
      <c r="F48" s="113">
        <v>2000000</v>
      </c>
      <c r="G48" s="90" t="s">
        <v>160</v>
      </c>
      <c r="H48" s="103">
        <f>IF(OR($B48="",$F48=""),"",$F48*IFERROR(IF(AND(_xlfn.XLOOKUP($B48,Members!$C:$C,Members!$H:$H)&lt;&gt;"",ISNUMBER(_xlfn.XLOOKUP($B48,Members!$C:$C,Members!$H:$H))),_xlfn.XLOOKUP($B48,Members!$C:$C,Members!$H:$H),IF(ISNUMBER(SEARCH("Diamond",J48)),Settings!$D$10,IF(ISNUMBER(SEARCH("Platinum",J48)),Settings!$C$10,Settings!$B$10))),0))</f>
        <v>0</v>
      </c>
      <c r="I48" s="114">
        <f t="shared" si="0"/>
        <v>2000000</v>
      </c>
      <c r="J48" s="115" t="str">
        <f>IF($B48="","",IFERROR(_xlfn.XLOOKUP($B48,Members!$C:$C,Members!$G:$G),""))</f>
        <v/>
      </c>
      <c r="K48" s="91" t="s">
        <v>148</v>
      </c>
      <c r="L48" s="90"/>
    </row>
    <row r="49" spans="1:12">
      <c r="A49" s="84" t="s">
        <v>159</v>
      </c>
      <c r="B49" s="100">
        <v>9876543210</v>
      </c>
      <c r="C49" s="107" t="str">
        <f>IF($B49="","",IFERROR(_xlfn.XLOOKUP($B49,Members!$C:$C,Members!$A:$A),"NOT FOUND"))</f>
        <v>NOT FOUND</v>
      </c>
      <c r="D49" s="108" t="str">
        <f>IF($B49="","",IFERROR(_xlfn.XLOOKUP($B49,Members!$C:$C,Members!$B:$B),"NOT FOUND"))</f>
        <v>NOT FOUND</v>
      </c>
      <c r="E49" s="86">
        <v>45292</v>
      </c>
      <c r="F49" s="109">
        <v>2000000</v>
      </c>
      <c r="G49" s="83" t="s">
        <v>160</v>
      </c>
      <c r="H49" s="49">
        <f>IF(OR($B49="",$F49=""),"",$F49*IFERROR(IF(AND(_xlfn.XLOOKUP($B49,Members!$C:$C,Members!$H:$H)&lt;&gt;"",ISNUMBER(_xlfn.XLOOKUP($B49,Members!$C:$C,Members!$H:$H))),_xlfn.XLOOKUP($B49,Members!$C:$C,Members!$H:$H),IF(ISNUMBER(SEARCH("Diamond",J49)),Settings!$D$10,IF(ISNUMBER(SEARCH("Platinum",J49)),Settings!$C$10,Settings!$B$10))),0))</f>
        <v>0</v>
      </c>
      <c r="I49" s="110">
        <f t="shared" si="0"/>
        <v>2000000</v>
      </c>
      <c r="J49" s="48" t="str">
        <f>IF($B49="","",IFERROR(_xlfn.XLOOKUP($B49,Members!$C:$C,Members!$G:$G),""))</f>
        <v/>
      </c>
      <c r="K49" s="85" t="s">
        <v>148</v>
      </c>
      <c r="L49" s="83"/>
    </row>
    <row r="50" spans="1:12">
      <c r="A50" s="89" t="s">
        <v>159</v>
      </c>
      <c r="B50" s="99">
        <v>9876543210</v>
      </c>
      <c r="C50" s="111" t="str">
        <f>IF($B50="","",IFERROR(_xlfn.XLOOKUP($B50,Members!$C:$C,Members!$A:$A),"NOT FOUND"))</f>
        <v>NOT FOUND</v>
      </c>
      <c r="D50" s="112" t="str">
        <f>IF($B50="","",IFERROR(_xlfn.XLOOKUP($B50,Members!$C:$C,Members!$B:$B),"NOT FOUND"))</f>
        <v>NOT FOUND</v>
      </c>
      <c r="E50" s="92">
        <v>45292</v>
      </c>
      <c r="F50" s="113">
        <v>2000000</v>
      </c>
      <c r="G50" s="90" t="s">
        <v>160</v>
      </c>
      <c r="H50" s="103">
        <f>IF(OR($B50="",$F50=""),"",$F50*IFERROR(IF(AND(_xlfn.XLOOKUP($B50,Members!$C:$C,Members!$H:$H)&lt;&gt;"",ISNUMBER(_xlfn.XLOOKUP($B50,Members!$C:$C,Members!$H:$H))),_xlfn.XLOOKUP($B50,Members!$C:$C,Members!$H:$H),IF(ISNUMBER(SEARCH("Diamond",J50)),Settings!$D$10,IF(ISNUMBER(SEARCH("Platinum",J50)),Settings!$C$10,Settings!$B$10))),0))</f>
        <v>0</v>
      </c>
      <c r="I50" s="114">
        <f t="shared" si="0"/>
        <v>2000000</v>
      </c>
      <c r="J50" s="115" t="str">
        <f>IF($B50="","",IFERROR(_xlfn.XLOOKUP($B50,Members!$C:$C,Members!$G:$G),""))</f>
        <v/>
      </c>
      <c r="K50" s="91" t="s">
        <v>148</v>
      </c>
      <c r="L50" s="90"/>
    </row>
    <row r="51" spans="1:12">
      <c r="A51" s="84" t="s">
        <v>159</v>
      </c>
      <c r="B51" s="100">
        <v>9876543210</v>
      </c>
      <c r="C51" s="107" t="str">
        <f>IF($B51="","",IFERROR(_xlfn.XLOOKUP($B51,Members!$C:$C,Members!$A:$A),"NOT FOUND"))</f>
        <v>NOT FOUND</v>
      </c>
      <c r="D51" s="108" t="str">
        <f>IF($B51="","",IFERROR(_xlfn.XLOOKUP($B51,Members!$C:$C,Members!$B:$B),"NOT FOUND"))</f>
        <v>NOT FOUND</v>
      </c>
      <c r="E51" s="86">
        <v>45292</v>
      </c>
      <c r="F51" s="109">
        <v>2000000</v>
      </c>
      <c r="G51" s="83" t="s">
        <v>160</v>
      </c>
      <c r="H51" s="49">
        <f>IF(OR($B51="",$F51=""),"",$F51*IFERROR(IF(AND(_xlfn.XLOOKUP($B51,Members!$C:$C,Members!$H:$H)&lt;&gt;"",ISNUMBER(_xlfn.XLOOKUP($B51,Members!$C:$C,Members!$H:$H))),_xlfn.XLOOKUP($B51,Members!$C:$C,Members!$H:$H),IF(ISNUMBER(SEARCH("Diamond",J51)),Settings!$D$10,IF(ISNUMBER(SEARCH("Platinum",J51)),Settings!$C$10,Settings!$B$10))),0))</f>
        <v>0</v>
      </c>
      <c r="I51" s="110">
        <f t="shared" si="0"/>
        <v>2000000</v>
      </c>
      <c r="J51" s="48" t="str">
        <f>IF($B51="","",IFERROR(_xlfn.XLOOKUP($B51,Members!$C:$C,Members!$G:$G),""))</f>
        <v/>
      </c>
      <c r="K51" s="85" t="s">
        <v>148</v>
      </c>
      <c r="L51" s="83"/>
    </row>
    <row r="52" spans="1:12">
      <c r="A52" s="89" t="s">
        <v>159</v>
      </c>
      <c r="B52" s="99">
        <v>9876543210</v>
      </c>
      <c r="C52" s="111" t="str">
        <f>IF($B52="","",IFERROR(_xlfn.XLOOKUP($B52,Members!$C:$C,Members!$A:$A),"NOT FOUND"))</f>
        <v>NOT FOUND</v>
      </c>
      <c r="D52" s="112" t="str">
        <f>IF($B52="","",IFERROR(_xlfn.XLOOKUP($B52,Members!$C:$C,Members!$B:$B),"NOT FOUND"))</f>
        <v>NOT FOUND</v>
      </c>
      <c r="E52" s="92">
        <v>45292</v>
      </c>
      <c r="F52" s="113">
        <v>2000000</v>
      </c>
      <c r="G52" s="90" t="s">
        <v>160</v>
      </c>
      <c r="H52" s="103">
        <f>IF(OR($B52="",$F52=""),"",$F52*IFERROR(IF(AND(_xlfn.XLOOKUP($B52,Members!$C:$C,Members!$H:$H)&lt;&gt;"",ISNUMBER(_xlfn.XLOOKUP($B52,Members!$C:$C,Members!$H:$H))),_xlfn.XLOOKUP($B52,Members!$C:$C,Members!$H:$H),IF(ISNUMBER(SEARCH("Diamond",J52)),Settings!$D$10,IF(ISNUMBER(SEARCH("Platinum",J52)),Settings!$C$10,Settings!$B$10))),0))</f>
        <v>0</v>
      </c>
      <c r="I52" s="114">
        <f t="shared" si="0"/>
        <v>2000000</v>
      </c>
      <c r="J52" s="115" t="str">
        <f>IF($B52="","",IFERROR(_xlfn.XLOOKUP($B52,Members!$C:$C,Members!$G:$G),""))</f>
        <v/>
      </c>
      <c r="K52" s="91" t="s">
        <v>148</v>
      </c>
      <c r="L52" s="90"/>
    </row>
    <row r="53" spans="1:12">
      <c r="A53" s="84" t="s">
        <v>159</v>
      </c>
      <c r="B53" s="100">
        <v>9876543210</v>
      </c>
      <c r="C53" s="107" t="str">
        <f>IF($B53="","",IFERROR(_xlfn.XLOOKUP($B53,Members!$C:$C,Members!$A:$A),"NOT FOUND"))</f>
        <v>NOT FOUND</v>
      </c>
      <c r="D53" s="108" t="str">
        <f>IF($B53="","",IFERROR(_xlfn.XLOOKUP($B53,Members!$C:$C,Members!$B:$B),"NOT FOUND"))</f>
        <v>NOT FOUND</v>
      </c>
      <c r="E53" s="86">
        <v>45292</v>
      </c>
      <c r="F53" s="109">
        <v>2000000</v>
      </c>
      <c r="G53" s="83" t="s">
        <v>160</v>
      </c>
      <c r="H53" s="49">
        <f>IF(OR($B53="",$F53=""),"",$F53*IFERROR(IF(AND(_xlfn.XLOOKUP($B53,Members!$C:$C,Members!$H:$H)&lt;&gt;"",ISNUMBER(_xlfn.XLOOKUP($B53,Members!$C:$C,Members!$H:$H))),_xlfn.XLOOKUP($B53,Members!$C:$C,Members!$H:$H),IF(ISNUMBER(SEARCH("Diamond",J53)),Settings!$D$10,IF(ISNUMBER(SEARCH("Platinum",J53)),Settings!$C$10,Settings!$B$10))),0))</f>
        <v>0</v>
      </c>
      <c r="I53" s="110">
        <f t="shared" si="0"/>
        <v>2000000</v>
      </c>
      <c r="J53" s="48" t="str">
        <f>IF($B53="","",IFERROR(_xlfn.XLOOKUP($B53,Members!$C:$C,Members!$G:$G),""))</f>
        <v/>
      </c>
      <c r="K53" s="85" t="s">
        <v>148</v>
      </c>
      <c r="L53" s="83"/>
    </row>
    <row r="54" spans="1:12">
      <c r="A54" s="89" t="s">
        <v>159</v>
      </c>
      <c r="B54" s="99">
        <v>9876543210</v>
      </c>
      <c r="C54" s="111" t="str">
        <f>IF($B54="","",IFERROR(_xlfn.XLOOKUP($B54,Members!$C:$C,Members!$A:$A),"NOT FOUND"))</f>
        <v>NOT FOUND</v>
      </c>
      <c r="D54" s="112" t="str">
        <f>IF($B54="","",IFERROR(_xlfn.XLOOKUP($B54,Members!$C:$C,Members!$B:$B),"NOT FOUND"))</f>
        <v>NOT FOUND</v>
      </c>
      <c r="E54" s="92">
        <v>45292</v>
      </c>
      <c r="F54" s="113">
        <v>2000000</v>
      </c>
      <c r="G54" s="90" t="s">
        <v>160</v>
      </c>
      <c r="H54" s="103">
        <f>IF(OR($B54="",$F54=""),"",$F54*IFERROR(IF(AND(_xlfn.XLOOKUP($B54,Members!$C:$C,Members!$H:$H)&lt;&gt;"",ISNUMBER(_xlfn.XLOOKUP($B54,Members!$C:$C,Members!$H:$H))),_xlfn.XLOOKUP($B54,Members!$C:$C,Members!$H:$H),IF(ISNUMBER(SEARCH("Diamond",J54)),Settings!$D$10,IF(ISNUMBER(SEARCH("Platinum",J54)),Settings!$C$10,Settings!$B$10))),0))</f>
        <v>0</v>
      </c>
      <c r="I54" s="114">
        <f t="shared" si="0"/>
        <v>2000000</v>
      </c>
      <c r="J54" s="115" t="str">
        <f>IF($B54="","",IFERROR(_xlfn.XLOOKUP($B54,Members!$C:$C,Members!$G:$G),""))</f>
        <v/>
      </c>
      <c r="K54" s="91" t="s">
        <v>148</v>
      </c>
      <c r="L54" s="90"/>
    </row>
    <row r="55" spans="1:12">
      <c r="A55" s="84" t="s">
        <v>159</v>
      </c>
      <c r="B55" s="100">
        <v>9876543210</v>
      </c>
      <c r="C55" s="107" t="str">
        <f>IF($B55="","",IFERROR(_xlfn.XLOOKUP($B55,Members!$C:$C,Members!$A:$A),"NOT FOUND"))</f>
        <v>NOT FOUND</v>
      </c>
      <c r="D55" s="108" t="str">
        <f>IF($B55="","",IFERROR(_xlfn.XLOOKUP($B55,Members!$C:$C,Members!$B:$B),"NOT FOUND"))</f>
        <v>NOT FOUND</v>
      </c>
      <c r="E55" s="86">
        <v>45292</v>
      </c>
      <c r="F55" s="109">
        <v>2000000</v>
      </c>
      <c r="G55" s="83" t="s">
        <v>160</v>
      </c>
      <c r="H55" s="49">
        <f>IF(OR($B55="",$F55=""),"",$F55*IFERROR(IF(AND(_xlfn.XLOOKUP($B55,Members!$C:$C,Members!$H:$H)&lt;&gt;"",ISNUMBER(_xlfn.XLOOKUP($B55,Members!$C:$C,Members!$H:$H))),_xlfn.XLOOKUP($B55,Members!$C:$C,Members!$H:$H),IF(ISNUMBER(SEARCH("Diamond",J55)),Settings!$D$10,IF(ISNUMBER(SEARCH("Platinum",J55)),Settings!$C$10,Settings!$B$10))),0))</f>
        <v>0</v>
      </c>
      <c r="I55" s="110">
        <f t="shared" si="0"/>
        <v>2000000</v>
      </c>
      <c r="J55" s="48" t="str">
        <f>IF($B55="","",IFERROR(_xlfn.XLOOKUP($B55,Members!$C:$C,Members!$G:$G),""))</f>
        <v/>
      </c>
      <c r="K55" s="85" t="s">
        <v>148</v>
      </c>
      <c r="L55" s="83"/>
    </row>
    <row r="56" spans="1:12">
      <c r="A56" s="82" t="s">
        <v>161</v>
      </c>
      <c r="B56" s="82"/>
      <c r="C56" s="82"/>
      <c r="D56" s="82"/>
      <c r="E56" s="82"/>
      <c r="F56" s="101">
        <f>SUMIFS(F6:F55,K6:K55,"Confirmed")</f>
        <v>101000000</v>
      </c>
      <c r="G56" s="82"/>
      <c r="H56" s="101">
        <f ca="1">SUMIFS(H6:H55,K6:K55,"Confirmed")</f>
        <v>700000</v>
      </c>
      <c r="I56" s="101">
        <f ca="1">SUMIFS(I6:I55,K6:K55,"Confirmed")</f>
        <v>100300000</v>
      </c>
      <c r="J56" s="82"/>
      <c r="K56" s="82"/>
      <c r="L56" s="82"/>
    </row>
    <row r="57" spans="1:12">
      <c r="A57"/>
      <c r="B57"/>
      <c r="C57"/>
      <c r="D57"/>
      <c r="E57"/>
    </row>
    <row r="58" spans="1:12">
      <c r="A58"/>
      <c r="B58"/>
      <c r="C58"/>
      <c r="D58"/>
      <c r="E58"/>
    </row>
    <row r="59" spans="1:12">
      <c r="A59"/>
      <c r="B59"/>
      <c r="C59"/>
      <c r="D59"/>
      <c r="E59"/>
    </row>
    <row r="60" spans="1:12">
      <c r="A60"/>
      <c r="B60"/>
      <c r="C60"/>
      <c r="D60"/>
      <c r="E60"/>
    </row>
    <row r="61" spans="1:12">
      <c r="A61"/>
      <c r="B61"/>
      <c r="C61"/>
      <c r="D61"/>
      <c r="E61"/>
    </row>
    <row r="62" spans="1:12">
      <c r="A62"/>
      <c r="B62"/>
      <c r="C62"/>
      <c r="D62"/>
      <c r="E62"/>
    </row>
    <row r="63" spans="1:12">
      <c r="A63"/>
      <c r="B63"/>
      <c r="C63"/>
      <c r="D63"/>
      <c r="E63"/>
    </row>
    <row r="64" spans="1:12">
      <c r="A64"/>
      <c r="B64"/>
      <c r="C64"/>
      <c r="D64"/>
      <c r="E64"/>
    </row>
    <row r="65" customFormat="1"/>
    <row r="66" customFormat="1"/>
    <row r="67" customFormat="1"/>
    <row r="68" customFormat="1"/>
    <row r="69" customFormat="1"/>
    <row r="70" customFormat="1"/>
    <row r="71" customFormat="1"/>
    <row r="72" customFormat="1"/>
    <row r="73" customFormat="1"/>
    <row r="74" customFormat="1"/>
    <row r="75" customFormat="1"/>
    <row r="76" customFormat="1"/>
    <row r="77" customFormat="1"/>
    <row r="78" customFormat="1"/>
    <row r="79" customFormat="1"/>
    <row r="80" customFormat="1"/>
    <row r="81" customFormat="1"/>
    <row r="82" customFormat="1"/>
    <row r="83" customFormat="1"/>
    <row r="84" customFormat="1"/>
    <row r="85" customFormat="1"/>
    <row r="86" customFormat="1"/>
    <row r="87" customFormat="1"/>
    <row r="88" customFormat="1"/>
    <row r="89" customFormat="1"/>
    <row r="90" customFormat="1"/>
    <row r="91" customFormat="1"/>
    <row r="92" customFormat="1"/>
    <row r="93" customFormat="1"/>
    <row r="94" customFormat="1"/>
    <row r="95" customFormat="1"/>
    <row r="96" customFormat="1"/>
    <row r="97" spans="1:5">
      <c r="A97"/>
      <c r="B97"/>
      <c r="C97"/>
      <c r="D97"/>
      <c r="E97"/>
    </row>
    <row r="98" spans="1:5">
      <c r="A98"/>
      <c r="B98"/>
      <c r="C98"/>
      <c r="D98"/>
      <c r="E98"/>
    </row>
    <row r="99" spans="1:5">
      <c r="A99"/>
      <c r="B99"/>
      <c r="C99"/>
      <c r="D99"/>
      <c r="E99"/>
    </row>
    <row r="100" spans="1:5">
      <c r="A100"/>
      <c r="B100"/>
      <c r="C100"/>
      <c r="D100"/>
      <c r="E100"/>
    </row>
    <row r="101" spans="1:5">
      <c r="A101" s="124"/>
      <c r="B101" s="124"/>
      <c r="C101" s="124"/>
      <c r="D101" s="124"/>
      <c r="E101" s="124"/>
    </row>
    <row r="102" spans="1:5">
      <c r="A102" s="124"/>
      <c r="B102" s="124"/>
      <c r="C102" s="124"/>
      <c r="D102" s="124"/>
      <c r="E102" s="124"/>
    </row>
    <row r="103" spans="1:5">
      <c r="A103" s="124"/>
      <c r="B103" s="124"/>
      <c r="C103" s="124"/>
      <c r="D103" s="124"/>
      <c r="E103" s="124"/>
    </row>
    <row r="104" spans="1:5">
      <c r="A104" s="124"/>
      <c r="B104" s="124"/>
      <c r="C104" s="124"/>
      <c r="D104" s="124"/>
      <c r="E104" s="124"/>
    </row>
    <row r="105" spans="1:5">
      <c r="A105" s="124"/>
      <c r="B105" s="124"/>
      <c r="C105" s="124"/>
      <c r="D105" s="124"/>
      <c r="E105" s="124"/>
    </row>
  </sheetData>
  <mergeCells count="5">
    <mergeCell ref="A103:E103"/>
    <mergeCell ref="A104:E104"/>
    <mergeCell ref="A105:E105"/>
    <mergeCell ref="A101:E101"/>
    <mergeCell ref="A102:E102"/>
  </mergeCells>
  <conditionalFormatting sqref="K6:K55">
    <cfRule type="containsText" dxfId="6" priority="1" operator="containsText" text="Confirmed">
      <formula>NOT(ISERROR(SEARCH("Confirmed",K6)))</formula>
    </cfRule>
  </conditionalFormatting>
  <conditionalFormatting sqref="K6:K55">
    <cfRule type="containsText" dxfId="5" priority="2" operator="containsText" text="Pending">
      <formula>NOT(ISERROR(SEARCH("Pending",K6)))</formula>
    </cfRule>
  </conditionalFormatting>
  <conditionalFormatting sqref="K6:K55">
    <cfRule type="containsText" dxfId="4" priority="3" operator="containsText" text="Voided">
      <formula>NOT(ISERROR(SEARCH("Voided",K6)))</formula>
    </cfRule>
  </conditionalFormatting>
  <conditionalFormatting sqref="J6:J55">
    <cfRule type="containsText" dxfId="3" priority="4" operator="containsText" text="Gold">
      <formula>NOT(ISERROR(SEARCH("Gold",J6)))</formula>
    </cfRule>
  </conditionalFormatting>
  <conditionalFormatting sqref="J6:J55">
    <cfRule type="containsText" dxfId="2" priority="5" operator="containsText" text="Platinum">
      <formula>NOT(ISERROR(SEARCH("Platinum",J6)))</formula>
    </cfRule>
  </conditionalFormatting>
  <conditionalFormatting sqref="J6:J55">
    <cfRule type="containsText" dxfId="1" priority="6" operator="containsText" text="Diamond">
      <formula>NOT(ISERROR(SEARCH("Diamond",J6)))</formula>
    </cfRule>
  </conditionalFormatting>
  <conditionalFormatting sqref="C6:D55">
    <cfRule type="containsText" dxfId="0" priority="7" operator="containsText" text="NOT FOUND">
      <formula>NOT(ISERROR(SEARCH("NOT FOUND",C6)))</formula>
    </cfRule>
  </conditionalFormatting>
  <dataValidations count="1">
    <dataValidation type="list" allowBlank="1" showInputMessage="1" showErrorMessage="1" sqref="K6:K55">
      <formula1>"Confirmed,Pending,Voided"</formula1>
    </dataValidation>
  </dataValidation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CF73862066A8342AF466EC59B30F453" ma:contentTypeVersion="3" ma:contentTypeDescription="Create a new document." ma:contentTypeScope="" ma:versionID="74642983bb7c8f2acad9a82d766aed7a">
  <xsd:schema xmlns:xsd="http://www.w3.org/2001/XMLSchema" xmlns:xs="http://www.w3.org/2001/XMLSchema" xmlns:p="http://schemas.microsoft.com/office/2006/metadata/properties" xmlns:ns2="f29b6056-a9a8-463d-8257-88e9b79ec5b3" targetNamespace="http://schemas.microsoft.com/office/2006/metadata/properties" ma:root="true" ma:fieldsID="5453f3d78671bba71fc1b1ad2a9e8aab" ns2:_="">
    <xsd:import namespace="f29b6056-a9a8-463d-8257-88e9b79ec5b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9b6056-a9a8-463d-8257-88e9b79ec5b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24F8DD5-2CB8-4A1D-A169-13F927CE171C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08878C31-A4B9-45CE-BB5D-9318832972F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8CD9D30-DEF9-46FB-8357-4BEF32C4BE6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29b6056-a9a8-463d-8257-88e9b79ec5b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Settings</vt:lpstr>
      <vt:lpstr>Bill Calculator</vt:lpstr>
      <vt:lpstr>projections</vt:lpstr>
      <vt:lpstr>Revenue Impact</vt:lpstr>
      <vt:lpstr>Portfolio Tracker</vt:lpstr>
      <vt:lpstr>Members</vt:lpstr>
      <vt:lpstr>Invoice Log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vishion</cp:lastModifiedBy>
  <cp:revision>0</cp:revision>
  <dcterms:created xsi:type="dcterms:W3CDTF">2026-04-01T10:03:54Z</dcterms:created>
  <dcterms:modified xsi:type="dcterms:W3CDTF">2026-05-20T07:28:30Z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0x0101002CF73862066A8342AF466EC59B30F453</vt:lpwstr>
  </property>
</Properties>
</file>